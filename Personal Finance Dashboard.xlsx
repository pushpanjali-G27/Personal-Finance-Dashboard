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EA40C93F-8F87-40D8-802B-13909AF08D63}" xr6:coauthVersionLast="47" xr6:coauthVersionMax="47" xr10:uidLastSave="{00000000-0000-0000-0000-000000000000}"/>
  <bookViews>
    <workbookView xWindow="-108" yWindow="-108" windowWidth="23256" windowHeight="12456" activeTab="2" xr2:uid="{00000000-000D-0000-FFFF-FFFF00000000}"/>
  </bookViews>
  <sheets>
    <sheet name="Pivot tables" sheetId="7" r:id="rId1"/>
    <sheet name="Actuals" sheetId="4" r:id="rId2"/>
    <sheet name="Dashboard" sheetId="6" r:id="rId3"/>
    <sheet name="Budget" sheetId="5" r:id="rId4"/>
  </sheets>
  <definedNames>
    <definedName name="Slicer_Month">#N/A</definedName>
    <definedName name="Slicer_Month1">#N/A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0" roundtripDataSignature="AMtx7mi6ea1KxObxrS2o0gDbuwatD8xJNg=="/>
    </ext>
  </extLst>
</workbook>
</file>

<file path=xl/calcChain.xml><?xml version="1.0" encoding="utf-8"?>
<calcChain xmlns="http://schemas.openxmlformats.org/spreadsheetml/2006/main">
  <c r="B104" i="7" l="1"/>
  <c r="A101" i="7"/>
  <c r="A100" i="7"/>
  <c r="A86" i="7"/>
  <c r="A87" i="7"/>
  <c r="A88" i="7"/>
  <c r="A89" i="7"/>
  <c r="A90" i="7"/>
  <c r="A85" i="7"/>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5" i="5"/>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5"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B88" i="7"/>
  <c r="B5" i="6"/>
  <c r="B109" i="7"/>
  <c r="B87" i="7"/>
  <c r="B108" i="7"/>
  <c r="B85" i="7"/>
  <c r="K5" i="6"/>
  <c r="H5" i="6"/>
  <c r="B101" i="7"/>
  <c r="E5" i="6"/>
  <c r="B100" i="7"/>
  <c r="Q5" i="6"/>
  <c r="B86" i="7"/>
  <c r="N5" i="6"/>
  <c r="B90" i="7"/>
  <c r="B89" i="7"/>
  <c r="B35" i="7"/>
  <c r="B65" i="7"/>
  <c r="B117" i="7"/>
  <c r="B47" i="7"/>
  <c r="B59" i="7"/>
  <c r="B41" i="7"/>
  <c r="B118" i="7"/>
  <c r="B53" i="7"/>
  <c r="B105" i="7" l="1"/>
  <c r="B106" i="7" s="1"/>
</calcChain>
</file>

<file path=xl/sharedStrings.xml><?xml version="1.0" encoding="utf-8"?>
<sst xmlns="http://schemas.openxmlformats.org/spreadsheetml/2006/main" count="569" uniqueCount="75">
  <si>
    <t>Personal Finance Dashboard</t>
  </si>
  <si>
    <t>Rent</t>
  </si>
  <si>
    <t>Transport</t>
  </si>
  <si>
    <t>Grocery</t>
  </si>
  <si>
    <t>Utilities</t>
  </si>
  <si>
    <t>Leisure</t>
  </si>
  <si>
    <t>Other</t>
  </si>
  <si>
    <t>Starting Cash Balance</t>
  </si>
  <si>
    <t>Actual Income &amp; Expenses 2022</t>
  </si>
  <si>
    <t>Date</t>
  </si>
  <si>
    <t>Month</t>
  </si>
  <si>
    <t>Category</t>
  </si>
  <si>
    <t>Description</t>
  </si>
  <si>
    <t>Income / Expense</t>
  </si>
  <si>
    <t>Amount</t>
  </si>
  <si>
    <t>Income/Expense</t>
  </si>
  <si>
    <t>Apartment split with friend</t>
  </si>
  <si>
    <t>Expense</t>
  </si>
  <si>
    <t>Higher month than usual</t>
  </si>
  <si>
    <t>Metro card</t>
  </si>
  <si>
    <t>Groceries</t>
  </si>
  <si>
    <t>Walmart shopping</t>
  </si>
  <si>
    <t>Hotel in NYC</t>
  </si>
  <si>
    <t>Dinner with friends (invited my partner)</t>
  </si>
  <si>
    <t>Drake concert</t>
  </si>
  <si>
    <t>Bonus</t>
  </si>
  <si>
    <t>Income</t>
  </si>
  <si>
    <t>Bought new clothes</t>
  </si>
  <si>
    <t>Base Salary</t>
  </si>
  <si>
    <t>Commissions from each sale</t>
  </si>
  <si>
    <t>Side Hustle</t>
  </si>
  <si>
    <t>9-5 job</t>
  </si>
  <si>
    <t>Startup idea $</t>
  </si>
  <si>
    <t>Average month</t>
  </si>
  <si>
    <t>Drinks out</t>
  </si>
  <si>
    <t>Date night</t>
  </si>
  <si>
    <t>Tennis x2</t>
  </si>
  <si>
    <t>Snacks</t>
  </si>
  <si>
    <t>Lunch out x4</t>
  </si>
  <si>
    <t>Dinner with friends x2</t>
  </si>
  <si>
    <t>Exercise</t>
  </si>
  <si>
    <t>Travel back home</t>
  </si>
  <si>
    <t>Disco &amp; drinks</t>
  </si>
  <si>
    <t>NBA game</t>
  </si>
  <si>
    <t>Lemonade</t>
  </si>
  <si>
    <t>Budget Income &amp; Expenses 2022</t>
  </si>
  <si>
    <t>Budget</t>
  </si>
  <si>
    <t>January</t>
  </si>
  <si>
    <t>February</t>
  </si>
  <si>
    <t>March</t>
  </si>
  <si>
    <t>April</t>
  </si>
  <si>
    <t>May</t>
  </si>
  <si>
    <t>June</t>
  </si>
  <si>
    <t>July</t>
  </si>
  <si>
    <t>August</t>
  </si>
  <si>
    <t>September</t>
  </si>
  <si>
    <t>October</t>
  </si>
  <si>
    <t>November</t>
  </si>
  <si>
    <t>December</t>
  </si>
  <si>
    <t>Others</t>
  </si>
  <si>
    <t>Sum of Amount</t>
  </si>
  <si>
    <t>Row Labels</t>
  </si>
  <si>
    <t>Grand Total</t>
  </si>
  <si>
    <t>Column Labels</t>
  </si>
  <si>
    <t>Sum of Budget</t>
  </si>
  <si>
    <t xml:space="preserve">total </t>
  </si>
  <si>
    <t xml:space="preserve">Starting Cash Balance </t>
  </si>
  <si>
    <t>Changing Cash</t>
  </si>
  <si>
    <t>Ending Cash Balance</t>
  </si>
  <si>
    <t>Actual Expense</t>
  </si>
  <si>
    <t>Actual Income</t>
  </si>
  <si>
    <t>Anualls</t>
  </si>
  <si>
    <t>Charts</t>
  </si>
  <si>
    <t>Planed Expense</t>
  </si>
  <si>
    <t>Planed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</si>
</sst>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_);\(&quot;$&quot;#,##0.00\)"/>
    <numFmt numFmtId="165" formatCode="&quot;$&quot;#,##0.00"/>
    <numFmt numFmtId="166" formatCode="[$$-409]#,##0"/>
  </numFmts>
  <fonts count="16" x14ac:knownFonts="1">
    <font>
      <sz val="12"/>
      <color theme="1"/>
      <name val="Calibri"/>
      <scheme val="minor"/>
    </font>
    <font>
      <sz val="12"/>
      <color theme="1"/>
      <name val="Calibri"/>
      <family val="2"/>
    </font>
    <font>
      <sz val="12"/>
      <color theme="1"/>
      <name val="Calibri"/>
      <family val="2"/>
      <scheme val="minor"/>
    </font>
    <font>
      <b/>
      <sz val="11"/>
      <color theme="0"/>
      <name val="Calibri"/>
      <family val="2"/>
    </font>
    <font>
      <b/>
      <sz val="16"/>
      <color rgb="FF293D68"/>
      <name val="Calibri"/>
      <family val="2"/>
    </font>
    <font>
      <sz val="11"/>
      <color rgb="FF0000FF"/>
      <name val="Calibri"/>
      <family val="2"/>
    </font>
    <font>
      <b/>
      <sz val="12"/>
      <color theme="0"/>
      <name val="Calibri"/>
      <family val="2"/>
    </font>
    <font>
      <sz val="12"/>
      <color theme="0"/>
      <name val="Calibri"/>
      <family val="2"/>
      <scheme val="minor"/>
    </font>
    <font>
      <b/>
      <sz val="12"/>
      <color theme="0"/>
      <name val="Calibri"/>
      <family val="2"/>
      <scheme val="minor"/>
    </font>
    <font>
      <b/>
      <sz val="14"/>
      <color theme="0"/>
      <name val="Calibri"/>
      <family val="2"/>
      <scheme val="minor"/>
    </font>
    <font>
      <b/>
      <sz val="36"/>
      <color theme="0"/>
      <name val="Calibri"/>
      <family val="2"/>
      <scheme val="minor"/>
    </font>
    <font>
      <sz val="14"/>
      <color theme="1"/>
      <name val="Calibri"/>
      <family val="2"/>
      <scheme val="minor"/>
    </font>
    <font>
      <sz val="12"/>
      <color theme="4" tint="-0.499984740745262"/>
      <name val="Calibri"/>
      <family val="2"/>
      <scheme val="minor"/>
    </font>
    <font>
      <sz val="12"/>
      <color theme="1"/>
      <name val="Calibri"/>
      <family val="2"/>
      <scheme val="minor"/>
    </font>
    <font>
      <b/>
      <sz val="16"/>
      <color theme="1"/>
      <name val="Calibri"/>
      <family val="2"/>
      <scheme val="minor"/>
    </font>
    <font>
      <b/>
      <sz val="14"/>
      <color theme="1"/>
      <name val="Calibri"/>
      <family val="2"/>
      <scheme val="minor"/>
    </font>
  </fonts>
  <fills count="6">
    <fill>
      <patternFill patternType="none"/>
    </fill>
    <fill>
      <patternFill patternType="gray125"/>
    </fill>
    <fill>
      <patternFill patternType="solid">
        <fgColor rgb="FF293D68"/>
        <bgColor rgb="FF293D68"/>
      </patternFill>
    </fill>
    <fill>
      <patternFill patternType="solid">
        <fgColor theme="4" tint="-0.499984740745262"/>
        <bgColor indexed="64"/>
      </patternFill>
    </fill>
    <fill>
      <patternFill patternType="solid">
        <fgColor theme="4" tint="0.39997558519241921"/>
        <bgColor indexed="64"/>
      </patternFill>
    </fill>
    <fill>
      <patternFill patternType="solid">
        <fgColor rgb="FF000066"/>
        <bgColor indexed="64"/>
      </patternFill>
    </fill>
  </fills>
  <borders count="4">
    <border>
      <left/>
      <right/>
      <top/>
      <bottom/>
      <diagonal/>
    </border>
    <border>
      <left/>
      <right/>
      <top/>
      <bottom/>
      <diagonal/>
    </border>
    <border>
      <left/>
      <right/>
      <top/>
      <bottom/>
      <diagonal/>
    </border>
    <border>
      <left/>
      <right/>
      <top/>
      <bottom style="thin">
        <color rgb="FF000000"/>
      </bottom>
      <diagonal/>
    </border>
  </borders>
  <cellStyleXfs count="1">
    <xf numFmtId="0" fontId="0" fillId="0" borderId="0"/>
  </cellStyleXfs>
  <cellXfs count="26">
    <xf numFmtId="0" fontId="0" fillId="0" borderId="0" xfId="0"/>
    <xf numFmtId="0" fontId="2" fillId="0" borderId="0" xfId="0" applyFont="1"/>
    <xf numFmtId="0" fontId="4" fillId="0" borderId="3" xfId="0" applyFont="1" applyBorder="1"/>
    <xf numFmtId="0" fontId="3" fillId="2" borderId="1" xfId="0" applyFont="1" applyFill="1" applyBorder="1"/>
    <xf numFmtId="16" fontId="1" fillId="0" borderId="0" xfId="0" applyNumberFormat="1" applyFont="1" applyAlignment="1">
      <alignment horizontal="left"/>
    </xf>
    <xf numFmtId="164" fontId="5" fillId="0" borderId="0" xfId="0" applyNumberFormat="1" applyFont="1"/>
    <xf numFmtId="0" fontId="3" fillId="0" borderId="0" xfId="0" applyFont="1"/>
    <xf numFmtId="0" fontId="4" fillId="0" borderId="0" xfId="0" applyFont="1"/>
    <xf numFmtId="17" fontId="6" fillId="2" borderId="1" xfId="0" applyNumberFormat="1" applyFont="1" applyFill="1" applyBorder="1"/>
    <xf numFmtId="165" fontId="5" fillId="0" borderId="0" xfId="0" applyNumberFormat="1" applyFont="1"/>
    <xf numFmtId="0" fontId="0" fillId="3" borderId="0" xfId="0" applyFill="1"/>
    <xf numFmtId="0" fontId="9" fillId="3" borderId="0" xfId="0" applyFont="1" applyFill="1" applyAlignment="1">
      <alignment horizontal="center"/>
    </xf>
    <xf numFmtId="0" fontId="0" fillId="0" borderId="0" xfId="0" pivotButton="1"/>
    <xf numFmtId="0" fontId="0" fillId="0" borderId="0" xfId="0" applyAlignment="1">
      <alignment horizontal="left"/>
    </xf>
    <xf numFmtId="164" fontId="0" fillId="0" borderId="0" xfId="0" applyNumberFormat="1"/>
    <xf numFmtId="166" fontId="0" fillId="0" borderId="0" xfId="0" applyNumberFormat="1"/>
    <xf numFmtId="165" fontId="0" fillId="0" borderId="0" xfId="0" applyNumberFormat="1"/>
    <xf numFmtId="0" fontId="12" fillId="0" borderId="0" xfId="0" applyFont="1"/>
    <xf numFmtId="0" fontId="13" fillId="0" borderId="0" xfId="0" applyFont="1"/>
    <xf numFmtId="0" fontId="14" fillId="0" borderId="0" xfId="0" applyFont="1"/>
    <xf numFmtId="0" fontId="15" fillId="0" borderId="0" xfId="0" applyFont="1" applyAlignment="1">
      <alignment horizontal="left"/>
    </xf>
    <xf numFmtId="0" fontId="10" fillId="3" borderId="2" xfId="0" applyFont="1" applyFill="1" applyBorder="1" applyAlignment="1">
      <alignment horizontal="center"/>
    </xf>
    <xf numFmtId="0" fontId="9" fillId="3" borderId="0" xfId="0" applyFont="1" applyFill="1" applyAlignment="1">
      <alignment horizontal="center"/>
    </xf>
    <xf numFmtId="0" fontId="7" fillId="5" borderId="2" xfId="0" applyFont="1" applyFill="1" applyBorder="1" applyAlignment="1">
      <alignment horizontal="center"/>
    </xf>
    <xf numFmtId="0" fontId="11" fillId="0" borderId="0" xfId="0" applyFont="1" applyAlignment="1">
      <alignment horizontal="center"/>
    </xf>
    <xf numFmtId="166" fontId="8" fillId="4" borderId="0" xfId="0" applyNumberFormat="1" applyFont="1" applyFill="1" applyAlignment="1">
      <alignment horizontal="center"/>
    </xf>
  </cellXfs>
  <cellStyles count="1">
    <cellStyle name="Normal" xfId="0" builtinId="0"/>
  </cellStyles>
  <dxfs count="10">
    <dxf>
      <numFmt numFmtId="166" formatCode="[$$-409]#,##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3">
    <tableStyle name="Actuals-style" pivot="0" count="3" xr9:uid="{00000000-0011-0000-FFFF-FFFF00000000}">
      <tableStyleElement type="headerRow" dxfId="9"/>
      <tableStyleElement type="firstRowStripe" dxfId="8"/>
      <tableStyleElement type="secondRowStripe" dxfId="7"/>
    </tableStyle>
    <tableStyle name="Actuals-style 2" pivot="0" count="3" xr9:uid="{00000000-0011-0000-FFFF-FFFF01000000}">
      <tableStyleElement type="headerRow" dxfId="6"/>
      <tableStyleElement type="firstRowStripe" dxfId="5"/>
      <tableStyleElement type="secondRowStripe" dxfId="4"/>
    </tableStyle>
    <tableStyle name="Budget-style" pivot="0" count="3" xr9:uid="{00000000-0011-0000-FFFF-FFFF02000000}">
      <tableStyleElement type="headerRow" dxfId="3"/>
      <tableStyleElement type="firstRowStripe" dxfId="2"/>
      <tableStyleElement type="secondRowStripe" dxfId="1"/>
    </tableStyle>
  </tableStyles>
  <colors>
    <mruColors>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66"/>
                </a:solidFill>
                <a:latin typeface="+mn-lt"/>
                <a:ea typeface="+mn-ea"/>
                <a:cs typeface="+mn-cs"/>
              </a:defRPr>
            </a:pPr>
            <a:r>
              <a:rPr lang="en-IN" b="1">
                <a:solidFill>
                  <a:srgbClr val="000066"/>
                </a:solidFill>
              </a:rPr>
              <a:t>Expence</a:t>
            </a:r>
            <a:r>
              <a:rPr lang="en-IN" b="1" baseline="0">
                <a:solidFill>
                  <a:srgbClr val="000066"/>
                </a:solidFill>
              </a:rPr>
              <a:t> By Category</a:t>
            </a:r>
            <a:endParaRPr lang="en-IN" b="1">
              <a:solidFill>
                <a:srgbClr val="000066"/>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66"/>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lumMod val="50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tables'!$A$85:$A$90</c:f>
              <c:strCache>
                <c:ptCount val="6"/>
                <c:pt idx="0">
                  <c:v>Groceries</c:v>
                </c:pt>
                <c:pt idx="1">
                  <c:v>Leisure</c:v>
                </c:pt>
                <c:pt idx="2">
                  <c:v>Other</c:v>
                </c:pt>
                <c:pt idx="3">
                  <c:v>Rent</c:v>
                </c:pt>
                <c:pt idx="4">
                  <c:v>Transport</c:v>
                </c:pt>
                <c:pt idx="5">
                  <c:v>Utilities</c:v>
                </c:pt>
              </c:strCache>
            </c:strRef>
          </c:cat>
          <c:val>
            <c:numRef>
              <c:f>'Pivot tables'!$B$85:$B$90</c:f>
              <c:numCache>
                <c:formatCode>General</c:formatCode>
                <c:ptCount val="6"/>
                <c:pt idx="0">
                  <c:v>754</c:v>
                </c:pt>
                <c:pt idx="1">
                  <c:v>756</c:v>
                </c:pt>
                <c:pt idx="2">
                  <c:v>267</c:v>
                </c:pt>
                <c:pt idx="3">
                  <c:v>1700</c:v>
                </c:pt>
                <c:pt idx="4">
                  <c:v>110</c:v>
                </c:pt>
                <c:pt idx="5">
                  <c:v>245</c:v>
                </c:pt>
              </c:numCache>
            </c:numRef>
          </c:val>
          <c:extLst>
            <c:ext xmlns:c16="http://schemas.microsoft.com/office/drawing/2014/chart" uri="{C3380CC4-5D6E-409C-BE32-E72D297353CC}">
              <c16:uniqueId val="{00000000-5F96-4CE6-B012-4425524BD439}"/>
            </c:ext>
          </c:extLst>
        </c:ser>
        <c:dLbls>
          <c:dLblPos val="outEnd"/>
          <c:showLegendKey val="0"/>
          <c:showVal val="1"/>
          <c:showCatName val="0"/>
          <c:showSerName val="0"/>
          <c:showPercent val="0"/>
          <c:showBubbleSize val="0"/>
        </c:dLbls>
        <c:gapWidth val="219"/>
        <c:overlap val="-27"/>
        <c:axId val="604916975"/>
        <c:axId val="604928015"/>
      </c:barChart>
      <c:catAx>
        <c:axId val="604916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928015"/>
        <c:crosses val="autoZero"/>
        <c:auto val="1"/>
        <c:lblAlgn val="ctr"/>
        <c:lblOffset val="100"/>
        <c:noMultiLvlLbl val="0"/>
      </c:catAx>
      <c:valAx>
        <c:axId val="6049280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916975"/>
        <c:crosses val="autoZero"/>
        <c:crossBetween val="between"/>
      </c:valAx>
      <c:spPr>
        <a:noFill/>
        <a:ln>
          <a:noFill/>
        </a:ln>
        <a:effectLst/>
      </c:spPr>
    </c:plotArea>
    <c:plotVisOnly val="1"/>
    <c:dispBlanksAs val="gap"/>
    <c:showDLblsOverMax val="0"/>
  </c:chart>
  <c:spPr>
    <a:noFill/>
    <a:ln w="9525" cap="flat" cmpd="sng" algn="ctr">
      <a:noFill/>
      <a:round/>
    </a:ln>
    <a:effectLst>
      <a:outerShdw blurRad="50800" dist="50800" dir="5400000" algn="ctr" rotWithShape="0">
        <a:schemeClr val="tx1">
          <a:lumMod val="75000"/>
          <a:lumOff val="25000"/>
        </a:scheme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IN" b="1">
                <a:solidFill>
                  <a:schemeClr val="accent1">
                    <a:lumMod val="50000"/>
                  </a:schemeClr>
                </a:solidFill>
              </a:rPr>
              <a:t>Cash Balance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S"/>
        </a:p>
      </c:txPr>
    </c:title>
    <c:autoTitleDeleted val="0"/>
    <c:plotArea>
      <c:layout/>
      <c:barChart>
        <c:barDir val="col"/>
        <c:grouping val="clustered"/>
        <c:varyColors val="1"/>
        <c:ser>
          <c:idx val="0"/>
          <c:order val="0"/>
          <c:spPr>
            <a:solidFill>
              <a:srgbClr val="000066"/>
            </a:solidFill>
          </c:spPr>
          <c:invertIfNegative val="0"/>
          <c:dPt>
            <c:idx val="0"/>
            <c:invertIfNegative val="0"/>
            <c:bubble3D val="0"/>
            <c:spPr>
              <a:solidFill>
                <a:srgbClr val="000066"/>
              </a:solidFill>
              <a:ln>
                <a:noFill/>
              </a:ln>
              <a:effectLst/>
            </c:spPr>
            <c:extLst>
              <c:ext xmlns:c16="http://schemas.microsoft.com/office/drawing/2014/chart" uri="{C3380CC4-5D6E-409C-BE32-E72D297353CC}">
                <c16:uniqueId val="{00000001-1655-440D-82A3-B0EC48DC348E}"/>
              </c:ext>
            </c:extLst>
          </c:dPt>
          <c:dPt>
            <c:idx val="1"/>
            <c:invertIfNegative val="0"/>
            <c:bubble3D val="0"/>
            <c:spPr>
              <a:solidFill>
                <a:srgbClr val="000066"/>
              </a:solidFill>
              <a:ln>
                <a:noFill/>
              </a:ln>
              <a:effectLst/>
            </c:spPr>
            <c:extLst>
              <c:ext xmlns:c16="http://schemas.microsoft.com/office/drawing/2014/chart" uri="{C3380CC4-5D6E-409C-BE32-E72D297353CC}">
                <c16:uniqueId val="{00000003-1655-440D-82A3-B0EC48DC34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tables'!$A$104,'Pivot tables'!$A$106)</c:f>
              <c:strCache>
                <c:ptCount val="2"/>
                <c:pt idx="0">
                  <c:v>Starting Cash Balance </c:v>
                </c:pt>
                <c:pt idx="1">
                  <c:v>Ending Cash Balance</c:v>
                </c:pt>
              </c:strCache>
            </c:strRef>
          </c:cat>
          <c:val>
            <c:numRef>
              <c:f>('Pivot tables'!$B$104,'Pivot tables'!$B$106)</c:f>
              <c:numCache>
                <c:formatCode>General</c:formatCode>
                <c:ptCount val="2"/>
                <c:pt idx="0">
                  <c:v>3000</c:v>
                </c:pt>
                <c:pt idx="1">
                  <c:v>6343</c:v>
                </c:pt>
              </c:numCache>
            </c:numRef>
          </c:val>
          <c:extLst>
            <c:ext xmlns:c16="http://schemas.microsoft.com/office/drawing/2014/chart" uri="{C3380CC4-5D6E-409C-BE32-E72D297353CC}">
              <c16:uniqueId val="{00000000-FC2E-4D45-9752-51F0E6BD96B5}"/>
            </c:ext>
          </c:extLst>
        </c:ser>
        <c:dLbls>
          <c:dLblPos val="outEnd"/>
          <c:showLegendKey val="0"/>
          <c:showVal val="1"/>
          <c:showCatName val="0"/>
          <c:showSerName val="0"/>
          <c:showPercent val="0"/>
          <c:showBubbleSize val="0"/>
        </c:dLbls>
        <c:gapWidth val="219"/>
        <c:overlap val="-27"/>
        <c:axId val="392271151"/>
        <c:axId val="392280271"/>
      </c:barChart>
      <c:catAx>
        <c:axId val="39227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80271"/>
        <c:crosses val="autoZero"/>
        <c:auto val="1"/>
        <c:lblAlgn val="ctr"/>
        <c:lblOffset val="100"/>
        <c:noMultiLvlLbl val="0"/>
      </c:catAx>
      <c:valAx>
        <c:axId val="392280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711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chemeClr val="tx1">
          <a:lumMod val="85000"/>
          <a:lumOff val="15000"/>
        </a:schemeClr>
      </a:outerShd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000066"/>
                </a:solidFill>
              </a:rPr>
              <a:t>Expence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0000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tables'!$A$108,'Pivot tables'!$A$117)</c:f>
              <c:strCache>
                <c:ptCount val="2"/>
                <c:pt idx="0">
                  <c:v>Actual Expense</c:v>
                </c:pt>
                <c:pt idx="1">
                  <c:v>Planed Expense</c:v>
                </c:pt>
              </c:strCache>
            </c:strRef>
          </c:cat>
          <c:val>
            <c:numRef>
              <c:f>('Pivot tables'!$B$108,'Pivot tables'!$B$117)</c:f>
              <c:numCache>
                <c:formatCode>General</c:formatCode>
                <c:ptCount val="2"/>
                <c:pt idx="0">
                  <c:v>3832</c:v>
                </c:pt>
                <c:pt idx="1">
                  <c:v>23750</c:v>
                </c:pt>
              </c:numCache>
            </c:numRef>
          </c:val>
          <c:extLst>
            <c:ext xmlns:c16="http://schemas.microsoft.com/office/drawing/2014/chart" uri="{C3380CC4-5D6E-409C-BE32-E72D297353CC}">
              <c16:uniqueId val="{00000000-B977-4F3C-B8AB-808AA10BDFAE}"/>
            </c:ext>
          </c:extLst>
        </c:ser>
        <c:dLbls>
          <c:dLblPos val="outEnd"/>
          <c:showLegendKey val="0"/>
          <c:showVal val="1"/>
          <c:showCatName val="0"/>
          <c:showSerName val="0"/>
          <c:showPercent val="0"/>
          <c:showBubbleSize val="0"/>
        </c:dLbls>
        <c:gapWidth val="182"/>
        <c:axId val="604935215"/>
        <c:axId val="604935695"/>
      </c:barChart>
      <c:catAx>
        <c:axId val="604935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935695"/>
        <c:crosses val="autoZero"/>
        <c:auto val="1"/>
        <c:lblAlgn val="ctr"/>
        <c:lblOffset val="100"/>
        <c:noMultiLvlLbl val="0"/>
      </c:catAx>
      <c:valAx>
        <c:axId val="604935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9352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chemeClr val="tx2">
          <a:lumMod val="85000"/>
          <a:lumOff val="15000"/>
        </a:schemeClr>
      </a:outerShd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0066"/>
                </a:solidFill>
                <a:latin typeface="+mn-lt"/>
                <a:ea typeface="+mn-ea"/>
                <a:cs typeface="+mn-cs"/>
              </a:defRPr>
            </a:pPr>
            <a:r>
              <a:rPr lang="en-IN" sz="1600" b="1">
                <a:solidFill>
                  <a:srgbClr val="000066"/>
                </a:solidFill>
              </a:rPr>
              <a:t>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66"/>
              </a:solidFill>
              <a:latin typeface="+mn-lt"/>
              <a:ea typeface="+mn-ea"/>
              <a:cs typeface="+mn-cs"/>
            </a:defRPr>
          </a:pPr>
          <a:endParaRPr lang="en-US"/>
        </a:p>
      </c:txPr>
    </c:title>
    <c:autoTitleDeleted val="0"/>
    <c:plotArea>
      <c:layout/>
      <c:barChart>
        <c:barDir val="bar"/>
        <c:grouping val="clustered"/>
        <c:varyColors val="0"/>
        <c:ser>
          <c:idx val="0"/>
          <c:order val="0"/>
          <c:spPr>
            <a:solidFill>
              <a:srgbClr val="0000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tables'!$A$109,'Pivot tables'!$A$118)</c:f>
              <c:strCache>
                <c:ptCount val="2"/>
                <c:pt idx="0">
                  <c:v>Actual Income</c:v>
                </c:pt>
                <c:pt idx="1">
                  <c:v>Planed Income</c:v>
                </c:pt>
              </c:strCache>
            </c:strRef>
          </c:cat>
          <c:val>
            <c:numRef>
              <c:f>('Pivot tables'!$B$109,'Pivot tables'!$B$118)</c:f>
              <c:numCache>
                <c:formatCode>General</c:formatCode>
                <c:ptCount val="2"/>
                <c:pt idx="0">
                  <c:v>7175</c:v>
                </c:pt>
                <c:pt idx="1">
                  <c:v>28000</c:v>
                </c:pt>
              </c:numCache>
            </c:numRef>
          </c:val>
          <c:extLst>
            <c:ext xmlns:c16="http://schemas.microsoft.com/office/drawing/2014/chart" uri="{C3380CC4-5D6E-409C-BE32-E72D297353CC}">
              <c16:uniqueId val="{00000000-E4E9-4D54-9F55-EB24A57B0293}"/>
            </c:ext>
          </c:extLst>
        </c:ser>
        <c:dLbls>
          <c:dLblPos val="outEnd"/>
          <c:showLegendKey val="0"/>
          <c:showVal val="1"/>
          <c:showCatName val="0"/>
          <c:showSerName val="0"/>
          <c:showPercent val="0"/>
          <c:showBubbleSize val="0"/>
        </c:dLbls>
        <c:gapWidth val="182"/>
        <c:axId val="81458879"/>
        <c:axId val="81459839"/>
      </c:barChart>
      <c:catAx>
        <c:axId val="81458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59839"/>
        <c:crosses val="autoZero"/>
        <c:auto val="1"/>
        <c:lblAlgn val="ctr"/>
        <c:lblOffset val="100"/>
        <c:noMultiLvlLbl val="0"/>
      </c:catAx>
      <c:valAx>
        <c:axId val="81459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588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50800" dir="5400000" algn="ctr" rotWithShape="0">
        <a:schemeClr val="tx2">
          <a:lumMod val="85000"/>
          <a:lumOff val="15000"/>
        </a:scheme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6" Type="http://schemas.openxmlformats.org/officeDocument/2006/relationships/image" Target="../media/image12.svg"/><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editAs="oneCell">
    <xdr:from>
      <xdr:col>1</xdr:col>
      <xdr:colOff>131884</xdr:colOff>
      <xdr:row>12</xdr:row>
      <xdr:rowOff>16670</xdr:rowOff>
    </xdr:from>
    <xdr:to>
      <xdr:col>3</xdr:col>
      <xdr:colOff>612530</xdr:colOff>
      <xdr:row>21</xdr:row>
      <xdr:rowOff>55926</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2D1934BF-548E-41B6-895B-DAF4D41F8CC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03003" y="2826982"/>
              <a:ext cx="1822885" cy="18009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124558</xdr:colOff>
      <xdr:row>21</xdr:row>
      <xdr:rowOff>183174</xdr:rowOff>
    </xdr:from>
    <xdr:to>
      <xdr:col>3</xdr:col>
      <xdr:colOff>605204</xdr:colOff>
      <xdr:row>33</xdr:row>
      <xdr:rowOff>161193</xdr:rowOff>
    </xdr:to>
    <mc:AlternateContent xmlns:mc="http://schemas.openxmlformats.org/markup-compatibility/2006" xmlns:a14="http://schemas.microsoft.com/office/drawing/2010/main">
      <mc:Choice Requires="a14">
        <xdr:graphicFrame macro="">
          <xdr:nvGraphicFramePr>
            <xdr:cNvPr id="3" name="Month 1">
              <a:extLst>
                <a:ext uri="{FF2B5EF4-FFF2-40B4-BE49-F238E27FC236}">
                  <a16:creationId xmlns:a16="http://schemas.microsoft.com/office/drawing/2014/main" id="{85463BA7-C5B5-4F10-9A9C-CFDB7140918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98635" y="4784481"/>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564173</xdr:colOff>
      <xdr:row>9</xdr:row>
      <xdr:rowOff>51288</xdr:rowOff>
    </xdr:from>
    <xdr:to>
      <xdr:col>11</xdr:col>
      <xdr:colOff>417635</xdr:colOff>
      <xdr:row>23</xdr:row>
      <xdr:rowOff>24911</xdr:rowOff>
    </xdr:to>
    <xdr:graphicFrame macro="">
      <xdr:nvGraphicFramePr>
        <xdr:cNvPr id="4" name="Chart 3">
          <a:extLst>
            <a:ext uri="{FF2B5EF4-FFF2-40B4-BE49-F238E27FC236}">
              <a16:creationId xmlns:a16="http://schemas.microsoft.com/office/drawing/2014/main" id="{52F2669A-23BC-4261-8D70-5AEA916A09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51289</xdr:colOff>
      <xdr:row>9</xdr:row>
      <xdr:rowOff>80595</xdr:rowOff>
    </xdr:from>
    <xdr:to>
      <xdr:col>18</xdr:col>
      <xdr:colOff>578827</xdr:colOff>
      <xdr:row>23</xdr:row>
      <xdr:rowOff>54218</xdr:rowOff>
    </xdr:to>
    <xdr:graphicFrame macro="">
      <xdr:nvGraphicFramePr>
        <xdr:cNvPr id="5" name="Chart 4">
          <a:extLst>
            <a:ext uri="{FF2B5EF4-FFF2-40B4-BE49-F238E27FC236}">
              <a16:creationId xmlns:a16="http://schemas.microsoft.com/office/drawing/2014/main" id="{89154B85-DE02-4F6A-B3B9-337E7C93C0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637441</xdr:colOff>
      <xdr:row>24</xdr:row>
      <xdr:rowOff>80596</xdr:rowOff>
    </xdr:from>
    <xdr:to>
      <xdr:col>11</xdr:col>
      <xdr:colOff>381000</xdr:colOff>
      <xdr:row>33</xdr:row>
      <xdr:rowOff>139211</xdr:rowOff>
    </xdr:to>
    <xdr:graphicFrame macro="">
      <xdr:nvGraphicFramePr>
        <xdr:cNvPr id="6" name="Chart 5">
          <a:extLst>
            <a:ext uri="{FF2B5EF4-FFF2-40B4-BE49-F238E27FC236}">
              <a16:creationId xmlns:a16="http://schemas.microsoft.com/office/drawing/2014/main" id="{88F044C5-ECB5-49BD-AE27-2A78AB5798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65943</xdr:colOff>
      <xdr:row>24</xdr:row>
      <xdr:rowOff>51289</xdr:rowOff>
    </xdr:from>
    <xdr:to>
      <xdr:col>18</xdr:col>
      <xdr:colOff>527538</xdr:colOff>
      <xdr:row>33</xdr:row>
      <xdr:rowOff>139212</xdr:rowOff>
    </xdr:to>
    <xdr:graphicFrame macro="">
      <xdr:nvGraphicFramePr>
        <xdr:cNvPr id="7" name="Chart 6">
          <a:extLst>
            <a:ext uri="{FF2B5EF4-FFF2-40B4-BE49-F238E27FC236}">
              <a16:creationId xmlns:a16="http://schemas.microsoft.com/office/drawing/2014/main" id="{90380E47-B009-40AC-830D-A281981E1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241788</xdr:colOff>
      <xdr:row>3</xdr:row>
      <xdr:rowOff>21982</xdr:rowOff>
    </xdr:from>
    <xdr:to>
      <xdr:col>0</xdr:col>
      <xdr:colOff>673788</xdr:colOff>
      <xdr:row>5</xdr:row>
      <xdr:rowOff>29021</xdr:rowOff>
    </xdr:to>
    <xdr:pic>
      <xdr:nvPicPr>
        <xdr:cNvPr id="9" name="Graphic 8" descr="House with solid fill">
          <a:extLst>
            <a:ext uri="{FF2B5EF4-FFF2-40B4-BE49-F238E27FC236}">
              <a16:creationId xmlns:a16="http://schemas.microsoft.com/office/drawing/2014/main" id="{E507D2EE-4993-6C53-2BC0-E2341FADDCD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1788" y="1003790"/>
          <a:ext cx="432000" cy="432000"/>
        </a:xfrm>
        <a:prstGeom prst="rect">
          <a:avLst/>
        </a:prstGeom>
      </xdr:spPr>
    </xdr:pic>
    <xdr:clientData/>
  </xdr:twoCellAnchor>
  <xdr:twoCellAnchor editAs="oneCell">
    <xdr:from>
      <xdr:col>6</xdr:col>
      <xdr:colOff>241787</xdr:colOff>
      <xdr:row>3</xdr:row>
      <xdr:rowOff>14653</xdr:rowOff>
    </xdr:from>
    <xdr:to>
      <xdr:col>6</xdr:col>
      <xdr:colOff>673787</xdr:colOff>
      <xdr:row>5</xdr:row>
      <xdr:rowOff>21692</xdr:rowOff>
    </xdr:to>
    <xdr:pic>
      <xdr:nvPicPr>
        <xdr:cNvPr id="11" name="Graphic 10" descr="Apple with solid fill">
          <a:extLst>
            <a:ext uri="{FF2B5EF4-FFF2-40B4-BE49-F238E27FC236}">
              <a16:creationId xmlns:a16="http://schemas.microsoft.com/office/drawing/2014/main" id="{B8354F15-12DF-EC57-2550-6C28881C7B5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286249" y="996461"/>
          <a:ext cx="432000" cy="432000"/>
        </a:xfrm>
        <a:prstGeom prst="rect">
          <a:avLst/>
        </a:prstGeom>
      </xdr:spPr>
    </xdr:pic>
    <xdr:clientData/>
  </xdr:twoCellAnchor>
  <xdr:twoCellAnchor editAs="oneCell">
    <xdr:from>
      <xdr:col>3</xdr:col>
      <xdr:colOff>201288</xdr:colOff>
      <xdr:row>3</xdr:row>
      <xdr:rowOff>91384</xdr:rowOff>
    </xdr:from>
    <xdr:to>
      <xdr:col>3</xdr:col>
      <xdr:colOff>633288</xdr:colOff>
      <xdr:row>5</xdr:row>
      <xdr:rowOff>98423</xdr:rowOff>
    </xdr:to>
    <xdr:pic>
      <xdr:nvPicPr>
        <xdr:cNvPr id="13" name="Graphic 12" descr="Car with solid fill">
          <a:extLst>
            <a:ext uri="{FF2B5EF4-FFF2-40B4-BE49-F238E27FC236}">
              <a16:creationId xmlns:a16="http://schemas.microsoft.com/office/drawing/2014/main" id="{26BE1B48-C208-5E88-015A-2A02EC33317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223519" y="1073192"/>
          <a:ext cx="432000" cy="432000"/>
        </a:xfrm>
        <a:prstGeom prst="rect">
          <a:avLst/>
        </a:prstGeom>
      </xdr:spPr>
    </xdr:pic>
    <xdr:clientData/>
  </xdr:twoCellAnchor>
  <xdr:twoCellAnchor editAs="oneCell">
    <xdr:from>
      <xdr:col>15</xdr:col>
      <xdr:colOff>329710</xdr:colOff>
      <xdr:row>3</xdr:row>
      <xdr:rowOff>102576</xdr:rowOff>
    </xdr:from>
    <xdr:to>
      <xdr:col>16</xdr:col>
      <xdr:colOff>15633</xdr:colOff>
      <xdr:row>5</xdr:row>
      <xdr:rowOff>37615</xdr:rowOff>
    </xdr:to>
    <xdr:pic>
      <xdr:nvPicPr>
        <xdr:cNvPr id="15" name="Graphic 14" descr="Hourglass Finished with solid fill">
          <a:extLst>
            <a:ext uri="{FF2B5EF4-FFF2-40B4-BE49-F238E27FC236}">
              <a16:creationId xmlns:a16="http://schemas.microsoft.com/office/drawing/2014/main" id="{72A6038C-8021-A12E-5BA4-1D08BF6736C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440864" y="1084384"/>
          <a:ext cx="360000" cy="360000"/>
        </a:xfrm>
        <a:prstGeom prst="rect">
          <a:avLst/>
        </a:prstGeom>
      </xdr:spPr>
    </xdr:pic>
    <xdr:clientData/>
  </xdr:twoCellAnchor>
  <xdr:twoCellAnchor editAs="oneCell">
    <xdr:from>
      <xdr:col>9</xdr:col>
      <xdr:colOff>267230</xdr:colOff>
      <xdr:row>3</xdr:row>
      <xdr:rowOff>91384</xdr:rowOff>
    </xdr:from>
    <xdr:to>
      <xdr:col>10</xdr:col>
      <xdr:colOff>25153</xdr:colOff>
      <xdr:row>5</xdr:row>
      <xdr:rowOff>98423</xdr:rowOff>
    </xdr:to>
    <xdr:pic>
      <xdr:nvPicPr>
        <xdr:cNvPr id="17" name="Graphic 16" descr="Lightbulb with solid fill">
          <a:extLst>
            <a:ext uri="{FF2B5EF4-FFF2-40B4-BE49-F238E27FC236}">
              <a16:creationId xmlns:a16="http://schemas.microsoft.com/office/drawing/2014/main" id="{93CF6D85-91EA-F6A2-3250-7CCE85BD46A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33922" y="1073192"/>
          <a:ext cx="432000" cy="432000"/>
        </a:xfrm>
        <a:prstGeom prst="rect">
          <a:avLst/>
        </a:prstGeom>
      </xdr:spPr>
    </xdr:pic>
    <xdr:clientData/>
  </xdr:twoCellAnchor>
  <xdr:twoCellAnchor editAs="oneCell">
    <xdr:from>
      <xdr:col>12</xdr:col>
      <xdr:colOff>204748</xdr:colOff>
      <xdr:row>3</xdr:row>
      <xdr:rowOff>65538</xdr:rowOff>
    </xdr:from>
    <xdr:to>
      <xdr:col>12</xdr:col>
      <xdr:colOff>636748</xdr:colOff>
      <xdr:row>5</xdr:row>
      <xdr:rowOff>72577</xdr:rowOff>
    </xdr:to>
    <xdr:pic>
      <xdr:nvPicPr>
        <xdr:cNvPr id="19" name="Graphic 18" descr="Video camera with solid fill">
          <a:extLst>
            <a:ext uri="{FF2B5EF4-FFF2-40B4-BE49-F238E27FC236}">
              <a16:creationId xmlns:a16="http://schemas.microsoft.com/office/drawing/2014/main" id="{6943A133-7CF5-9515-F056-FE07737E0D32}"/>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293671" y="1047346"/>
          <a:ext cx="432000" cy="432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77.632472685182" createdVersion="8" refreshedVersion="8" minRefreshableVersion="3" recordCount="56" xr:uid="{EE5A2D08-49B6-4FC5-9C92-DE9D8EF79C7B}">
  <cacheSource type="worksheet">
    <worksheetSource name="Table_2"/>
  </cacheSource>
  <cacheFields count="6">
    <cacheField name="Date" numFmtId="16">
      <sharedItems containsSemiMixedTypes="0" containsNonDate="0" containsDate="1" containsString="0" minDate="2022-01-01T00:00:00" maxDate="2022-05-30T00:00:00"/>
    </cacheField>
    <cacheField name="Month" numFmtId="0">
      <sharedItems count="5">
        <s v="January"/>
        <s v="February"/>
        <s v="March"/>
        <s v="April"/>
        <s v="May"/>
      </sharedItems>
    </cacheField>
    <cacheField name="Category" numFmtId="0">
      <sharedItems count="9">
        <s v="Rent"/>
        <s v="Utilities"/>
        <s v="Transport"/>
        <s v="Groceries"/>
        <s v="Leisure"/>
        <s v="Other"/>
        <s v="Bonus"/>
        <s v="Base Salary"/>
        <s v="Side Hustle"/>
      </sharedItems>
    </cacheField>
    <cacheField name="Description" numFmtId="0">
      <sharedItems/>
    </cacheField>
    <cacheField name="Income / Expense" numFmtId="0">
      <sharedItems count="2">
        <s v="Expense"/>
        <s v="Income"/>
      </sharedItems>
    </cacheField>
    <cacheField name="Amount" numFmtId="164">
      <sharedItems containsSemiMixedTypes="0" containsString="0" containsNumber="1" containsInteger="1" minValue="18" maxValue="3000"/>
    </cacheField>
  </cacheFields>
  <extLst>
    <ext xmlns:x14="http://schemas.microsoft.com/office/spreadsheetml/2009/9/main" uri="{725AE2AE-9491-48be-B2B4-4EB974FC3084}">
      <x14:pivotCacheDefinition pivotCacheId="7326973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77.644617129627" createdVersion="8" refreshedVersion="8" minRefreshableVersion="3" recordCount="108" xr:uid="{B56BC07F-E076-49AC-8D22-DE2F69161FEE}">
  <cacheSource type="worksheet">
    <worksheetSource name="Table_3"/>
  </cacheSource>
  <cacheFields count="4">
    <cacheField name="Month" numFmtId="0">
      <sharedItems count="12">
        <s v="January"/>
        <s v="February"/>
        <s v="March"/>
        <s v="April"/>
        <s v="May"/>
        <s v="June"/>
        <s v="July"/>
        <s v="August"/>
        <s v="September"/>
        <s v="October"/>
        <s v="November"/>
        <s v="December"/>
      </sharedItems>
    </cacheField>
    <cacheField name="Category" numFmtId="0">
      <sharedItems count="9">
        <s v="Rent"/>
        <s v="Utilities"/>
        <s v="Transport"/>
        <s v="Groceries"/>
        <s v="Leisure"/>
        <s v="Other"/>
        <s v="Bonus"/>
        <s v="Base Salary"/>
        <s v="Side Hustle"/>
      </sharedItems>
    </cacheField>
    <cacheField name="Budget" numFmtId="165">
      <sharedItems containsSemiMixedTypes="0" containsString="0" containsNumber="1" containsInteger="1" minValue="75" maxValue="2200"/>
    </cacheField>
    <cacheField name="Income/Expense" numFmtId="0">
      <sharedItems count="2">
        <s v="Expense"/>
        <s v="Income"/>
      </sharedItems>
    </cacheField>
  </cacheFields>
  <extLst>
    <ext xmlns:x14="http://schemas.microsoft.com/office/spreadsheetml/2009/9/main" uri="{725AE2AE-9491-48be-B2B4-4EB974FC3084}">
      <x14:pivotCacheDefinition pivotCacheId="21287136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d v="2022-01-01T00:00:00"/>
    <x v="0"/>
    <x v="0"/>
    <s v="Apartment split with friend"/>
    <x v="0"/>
    <n v="850"/>
  </r>
  <r>
    <d v="2022-01-01T00:00:00"/>
    <x v="0"/>
    <x v="1"/>
    <s v="Higher month than usual"/>
    <x v="0"/>
    <n v="140"/>
  </r>
  <r>
    <d v="2022-01-01T00:00:00"/>
    <x v="0"/>
    <x v="2"/>
    <s v="Metro card"/>
    <x v="0"/>
    <n v="55"/>
  </r>
  <r>
    <d v="2022-01-08T00:00:00"/>
    <x v="0"/>
    <x v="3"/>
    <s v="Walmart shopping"/>
    <x v="0"/>
    <n v="449"/>
  </r>
  <r>
    <d v="2022-01-11T00:00:00"/>
    <x v="0"/>
    <x v="4"/>
    <s v="Hotel in NYC"/>
    <x v="0"/>
    <n v="245"/>
  </r>
  <r>
    <d v="2022-01-12T00:00:00"/>
    <x v="0"/>
    <x v="4"/>
    <s v="Dinner with friends (invited my partner)"/>
    <x v="0"/>
    <n v="168"/>
  </r>
  <r>
    <d v="2022-01-12T00:00:00"/>
    <x v="0"/>
    <x v="4"/>
    <s v="Drake concert"/>
    <x v="0"/>
    <n v="149"/>
  </r>
  <r>
    <d v="2022-01-14T00:00:00"/>
    <x v="0"/>
    <x v="5"/>
    <s v="Bought new clothes"/>
    <x v="0"/>
    <n v="249"/>
  </r>
  <r>
    <d v="2022-01-31T00:00:00"/>
    <x v="0"/>
    <x v="6"/>
    <s v="Commissions from each sale"/>
    <x v="1"/>
    <n v="458"/>
  </r>
  <r>
    <d v="2022-01-31T00:00:00"/>
    <x v="0"/>
    <x v="7"/>
    <s v="9-5 job"/>
    <x v="1"/>
    <n v="3000"/>
  </r>
  <r>
    <d v="2022-01-31T00:00:00"/>
    <x v="0"/>
    <x v="8"/>
    <s v="Startup idea $"/>
    <x v="1"/>
    <n v="184"/>
  </r>
  <r>
    <d v="2022-02-01T00:00:00"/>
    <x v="1"/>
    <x v="0"/>
    <s v="Apartment split with friend"/>
    <x v="0"/>
    <n v="850"/>
  </r>
  <r>
    <d v="2022-02-01T00:00:00"/>
    <x v="1"/>
    <x v="1"/>
    <s v="Average month"/>
    <x v="0"/>
    <n v="105"/>
  </r>
  <r>
    <d v="2022-02-01T00:00:00"/>
    <x v="1"/>
    <x v="2"/>
    <s v="Metro card"/>
    <x v="0"/>
    <n v="55"/>
  </r>
  <r>
    <d v="2022-02-08T00:00:00"/>
    <x v="1"/>
    <x v="3"/>
    <s v="Walmart shopping"/>
    <x v="0"/>
    <n v="305"/>
  </r>
  <r>
    <d v="2022-02-11T00:00:00"/>
    <x v="1"/>
    <x v="4"/>
    <s v="Drinks out"/>
    <x v="0"/>
    <n v="28"/>
  </r>
  <r>
    <d v="2022-02-12T00:00:00"/>
    <x v="1"/>
    <x v="4"/>
    <s v="Date night"/>
    <x v="0"/>
    <n v="99"/>
  </r>
  <r>
    <d v="2022-02-12T00:00:00"/>
    <x v="1"/>
    <x v="4"/>
    <s v="Tennis x2"/>
    <x v="0"/>
    <n v="67"/>
  </r>
  <r>
    <d v="2022-02-14T00:00:00"/>
    <x v="1"/>
    <x v="5"/>
    <s v="Snacks"/>
    <x v="0"/>
    <n v="18"/>
  </r>
  <r>
    <d v="2022-02-28T00:00:00"/>
    <x v="1"/>
    <x v="6"/>
    <s v="Commissions from each sale"/>
    <x v="1"/>
    <n v="305"/>
  </r>
  <r>
    <d v="2022-02-28T00:00:00"/>
    <x v="1"/>
    <x v="7"/>
    <s v="9-5 job"/>
    <x v="1"/>
    <n v="3000"/>
  </r>
  <r>
    <d v="2022-02-28T00:00:00"/>
    <x v="1"/>
    <x v="8"/>
    <s v="Startup idea $"/>
    <x v="1"/>
    <n v="228"/>
  </r>
  <r>
    <d v="2022-03-01T00:00:00"/>
    <x v="2"/>
    <x v="0"/>
    <s v="Apartment split with friend"/>
    <x v="0"/>
    <n v="850"/>
  </r>
  <r>
    <d v="2022-03-01T00:00:00"/>
    <x v="2"/>
    <x v="1"/>
    <s v="Average month"/>
    <x v="0"/>
    <n v="110"/>
  </r>
  <r>
    <d v="2022-03-01T00:00:00"/>
    <x v="2"/>
    <x v="2"/>
    <s v="Metro card"/>
    <x v="0"/>
    <n v="55"/>
  </r>
  <r>
    <d v="2022-03-08T00:00:00"/>
    <x v="2"/>
    <x v="3"/>
    <s v="Walmart shopping"/>
    <x v="0"/>
    <n v="208"/>
  </r>
  <r>
    <d v="2022-03-11T00:00:00"/>
    <x v="2"/>
    <x v="4"/>
    <s v="Lunch out x4"/>
    <x v="0"/>
    <n v="188"/>
  </r>
  <r>
    <d v="2022-03-12T00:00:00"/>
    <x v="2"/>
    <x v="4"/>
    <s v="Dinner with friends x2"/>
    <x v="0"/>
    <n v="168"/>
  </r>
  <r>
    <d v="2022-03-12T00:00:00"/>
    <x v="2"/>
    <x v="4"/>
    <s v="Exercise"/>
    <x v="0"/>
    <n v="49"/>
  </r>
  <r>
    <d v="2022-03-14T00:00:00"/>
    <x v="2"/>
    <x v="5"/>
    <s v="Bought new clothes"/>
    <x v="0"/>
    <n v="199"/>
  </r>
  <r>
    <d v="2022-03-28T00:00:00"/>
    <x v="2"/>
    <x v="6"/>
    <s v="Commissions from each sale"/>
    <x v="1"/>
    <n v="598"/>
  </r>
  <r>
    <d v="2022-03-28T00:00:00"/>
    <x v="2"/>
    <x v="7"/>
    <s v="9-5 job"/>
    <x v="1"/>
    <n v="3000"/>
  </r>
  <r>
    <d v="2022-03-28T00:00:00"/>
    <x v="2"/>
    <x v="8"/>
    <s v="Startup idea $"/>
    <x v="1"/>
    <n v="59"/>
  </r>
  <r>
    <d v="2022-04-01T00:00:00"/>
    <x v="3"/>
    <x v="0"/>
    <s v="Apartment split with friend"/>
    <x v="0"/>
    <n v="850"/>
  </r>
  <r>
    <d v="2022-04-01T00:00:00"/>
    <x v="3"/>
    <x v="1"/>
    <s v="Higher month than usual"/>
    <x v="0"/>
    <n v="140"/>
  </r>
  <r>
    <d v="2022-04-01T00:00:00"/>
    <x v="3"/>
    <x v="2"/>
    <s v="Metro card"/>
    <x v="0"/>
    <n v="55"/>
  </r>
  <r>
    <d v="2022-04-08T00:00:00"/>
    <x v="3"/>
    <x v="3"/>
    <s v="Walmart shopping"/>
    <x v="0"/>
    <n v="449"/>
  </r>
  <r>
    <d v="2022-04-11T00:00:00"/>
    <x v="3"/>
    <x v="4"/>
    <s v="Travel back home"/>
    <x v="0"/>
    <n v="245"/>
  </r>
  <r>
    <d v="2022-04-12T00:00:00"/>
    <x v="3"/>
    <x v="4"/>
    <s v="Dinner with friends (invited my partner)"/>
    <x v="0"/>
    <n v="168"/>
  </r>
  <r>
    <d v="2022-04-12T00:00:00"/>
    <x v="3"/>
    <x v="4"/>
    <s v="Disco &amp; drinks"/>
    <x v="0"/>
    <n v="49"/>
  </r>
  <r>
    <d v="2022-04-14T00:00:00"/>
    <x v="3"/>
    <x v="5"/>
    <s v="Bought new clothes"/>
    <x v="0"/>
    <n v="249"/>
  </r>
  <r>
    <d v="2022-04-28T00:00:00"/>
    <x v="3"/>
    <x v="6"/>
    <s v="Commissions from each sale"/>
    <x v="1"/>
    <n v="669"/>
  </r>
  <r>
    <d v="2022-04-28T00:00:00"/>
    <x v="3"/>
    <x v="7"/>
    <s v="9-5 job"/>
    <x v="1"/>
    <n v="3000"/>
  </r>
  <r>
    <d v="2022-04-28T00:00:00"/>
    <x v="3"/>
    <x v="8"/>
    <s v="Startup idea $"/>
    <x v="1"/>
    <n v="258"/>
  </r>
  <r>
    <d v="2022-05-01T00:00:00"/>
    <x v="4"/>
    <x v="0"/>
    <s v="Apartment split with friend"/>
    <x v="0"/>
    <n v="850"/>
  </r>
  <r>
    <d v="2022-05-01T00:00:00"/>
    <x v="4"/>
    <x v="1"/>
    <s v="Higher month than usual"/>
    <x v="0"/>
    <n v="155"/>
  </r>
  <r>
    <d v="2022-05-01T00:00:00"/>
    <x v="4"/>
    <x v="2"/>
    <s v="Metro card"/>
    <x v="0"/>
    <n v="55"/>
  </r>
  <r>
    <d v="2022-05-08T00:00:00"/>
    <x v="4"/>
    <x v="3"/>
    <s v="Walmart shopping"/>
    <x v="0"/>
    <n v="449"/>
  </r>
  <r>
    <d v="2022-05-11T00:00:00"/>
    <x v="4"/>
    <x v="4"/>
    <s v="Hotel in NYC"/>
    <x v="0"/>
    <n v="245"/>
  </r>
  <r>
    <d v="2022-05-12T00:00:00"/>
    <x v="4"/>
    <x v="4"/>
    <s v="Dinner with friends (invited my partner)"/>
    <x v="0"/>
    <n v="168"/>
  </r>
  <r>
    <d v="2022-05-12T00:00:00"/>
    <x v="4"/>
    <x v="4"/>
    <s v="NBA game"/>
    <x v="0"/>
    <n v="233"/>
  </r>
  <r>
    <d v="2022-05-14T00:00:00"/>
    <x v="4"/>
    <x v="5"/>
    <s v="Bought new clothes"/>
    <x v="0"/>
    <n v="249"/>
  </r>
  <r>
    <d v="2022-05-28T00:00:00"/>
    <x v="4"/>
    <x v="6"/>
    <s v="Commissions from each sale"/>
    <x v="1"/>
    <n v="708"/>
  </r>
  <r>
    <d v="2022-05-28T00:00:00"/>
    <x v="4"/>
    <x v="7"/>
    <s v="9-5 job"/>
    <x v="1"/>
    <n v="3000"/>
  </r>
  <r>
    <d v="2022-05-28T00:00:00"/>
    <x v="4"/>
    <x v="8"/>
    <s v="Startup idea $"/>
    <x v="1"/>
    <n v="366"/>
  </r>
  <r>
    <d v="2022-05-29T00:00:00"/>
    <x v="4"/>
    <x v="8"/>
    <s v="Lemonade"/>
    <x v="1"/>
    <n v="1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x v="0"/>
    <x v="0"/>
    <n v="850"/>
    <x v="0"/>
  </r>
  <r>
    <x v="0"/>
    <x v="1"/>
    <n v="200"/>
    <x v="0"/>
  </r>
  <r>
    <x v="0"/>
    <x v="2"/>
    <n v="75"/>
    <x v="0"/>
  </r>
  <r>
    <x v="0"/>
    <x v="3"/>
    <n v="550"/>
    <x v="0"/>
  </r>
  <r>
    <x v="0"/>
    <x v="4"/>
    <n v="400"/>
    <x v="0"/>
  </r>
  <r>
    <x v="0"/>
    <x v="5"/>
    <n v="300"/>
    <x v="0"/>
  </r>
  <r>
    <x v="0"/>
    <x v="6"/>
    <n v="2200"/>
    <x v="1"/>
  </r>
  <r>
    <x v="0"/>
    <x v="7"/>
    <n v="500"/>
    <x v="1"/>
  </r>
  <r>
    <x v="0"/>
    <x v="8"/>
    <n v="100"/>
    <x v="1"/>
  </r>
  <r>
    <x v="1"/>
    <x v="0"/>
    <n v="850"/>
    <x v="0"/>
  </r>
  <r>
    <x v="1"/>
    <x v="1"/>
    <n v="200"/>
    <x v="0"/>
  </r>
  <r>
    <x v="1"/>
    <x v="2"/>
    <n v="75"/>
    <x v="0"/>
  </r>
  <r>
    <x v="1"/>
    <x v="3"/>
    <n v="550"/>
    <x v="0"/>
  </r>
  <r>
    <x v="1"/>
    <x v="4"/>
    <n v="400"/>
    <x v="0"/>
  </r>
  <r>
    <x v="1"/>
    <x v="5"/>
    <n v="300"/>
    <x v="0"/>
  </r>
  <r>
    <x v="1"/>
    <x v="6"/>
    <n v="2200"/>
    <x v="1"/>
  </r>
  <r>
    <x v="1"/>
    <x v="7"/>
    <n v="500"/>
    <x v="1"/>
  </r>
  <r>
    <x v="1"/>
    <x v="8"/>
    <n v="100"/>
    <x v="1"/>
  </r>
  <r>
    <x v="2"/>
    <x v="0"/>
    <n v="850"/>
    <x v="0"/>
  </r>
  <r>
    <x v="2"/>
    <x v="1"/>
    <n v="200"/>
    <x v="0"/>
  </r>
  <r>
    <x v="2"/>
    <x v="2"/>
    <n v="75"/>
    <x v="0"/>
  </r>
  <r>
    <x v="2"/>
    <x v="3"/>
    <n v="550"/>
    <x v="0"/>
  </r>
  <r>
    <x v="2"/>
    <x v="4"/>
    <n v="400"/>
    <x v="0"/>
  </r>
  <r>
    <x v="2"/>
    <x v="5"/>
    <n v="300"/>
    <x v="0"/>
  </r>
  <r>
    <x v="2"/>
    <x v="6"/>
    <n v="2200"/>
    <x v="1"/>
  </r>
  <r>
    <x v="2"/>
    <x v="7"/>
    <n v="500"/>
    <x v="1"/>
  </r>
  <r>
    <x v="2"/>
    <x v="8"/>
    <n v="100"/>
    <x v="1"/>
  </r>
  <r>
    <x v="3"/>
    <x v="0"/>
    <n v="850"/>
    <x v="0"/>
  </r>
  <r>
    <x v="3"/>
    <x v="1"/>
    <n v="200"/>
    <x v="0"/>
  </r>
  <r>
    <x v="3"/>
    <x v="2"/>
    <n v="75"/>
    <x v="0"/>
  </r>
  <r>
    <x v="3"/>
    <x v="3"/>
    <n v="550"/>
    <x v="0"/>
  </r>
  <r>
    <x v="3"/>
    <x v="4"/>
    <n v="400"/>
    <x v="0"/>
  </r>
  <r>
    <x v="3"/>
    <x v="5"/>
    <n v="300"/>
    <x v="0"/>
  </r>
  <r>
    <x v="3"/>
    <x v="6"/>
    <n v="2200"/>
    <x v="1"/>
  </r>
  <r>
    <x v="3"/>
    <x v="7"/>
    <n v="500"/>
    <x v="1"/>
  </r>
  <r>
    <x v="3"/>
    <x v="8"/>
    <n v="100"/>
    <x v="1"/>
  </r>
  <r>
    <x v="4"/>
    <x v="0"/>
    <n v="850"/>
    <x v="0"/>
  </r>
  <r>
    <x v="4"/>
    <x v="1"/>
    <n v="200"/>
    <x v="0"/>
  </r>
  <r>
    <x v="4"/>
    <x v="2"/>
    <n v="75"/>
    <x v="0"/>
  </r>
  <r>
    <x v="4"/>
    <x v="3"/>
    <n v="550"/>
    <x v="0"/>
  </r>
  <r>
    <x v="4"/>
    <x v="4"/>
    <n v="400"/>
    <x v="0"/>
  </r>
  <r>
    <x v="4"/>
    <x v="5"/>
    <n v="300"/>
    <x v="0"/>
  </r>
  <r>
    <x v="4"/>
    <x v="6"/>
    <n v="2200"/>
    <x v="1"/>
  </r>
  <r>
    <x v="4"/>
    <x v="7"/>
    <n v="500"/>
    <x v="1"/>
  </r>
  <r>
    <x v="4"/>
    <x v="8"/>
    <n v="100"/>
    <x v="1"/>
  </r>
  <r>
    <x v="5"/>
    <x v="0"/>
    <n v="850"/>
    <x v="0"/>
  </r>
  <r>
    <x v="5"/>
    <x v="1"/>
    <n v="200"/>
    <x v="0"/>
  </r>
  <r>
    <x v="5"/>
    <x v="2"/>
    <n v="75"/>
    <x v="0"/>
  </r>
  <r>
    <x v="5"/>
    <x v="3"/>
    <n v="550"/>
    <x v="0"/>
  </r>
  <r>
    <x v="5"/>
    <x v="4"/>
    <n v="400"/>
    <x v="0"/>
  </r>
  <r>
    <x v="5"/>
    <x v="5"/>
    <n v="300"/>
    <x v="0"/>
  </r>
  <r>
    <x v="5"/>
    <x v="6"/>
    <n v="2200"/>
    <x v="1"/>
  </r>
  <r>
    <x v="5"/>
    <x v="7"/>
    <n v="500"/>
    <x v="1"/>
  </r>
  <r>
    <x v="5"/>
    <x v="8"/>
    <n v="100"/>
    <x v="1"/>
  </r>
  <r>
    <x v="6"/>
    <x v="0"/>
    <n v="850"/>
    <x v="0"/>
  </r>
  <r>
    <x v="6"/>
    <x v="1"/>
    <n v="200"/>
    <x v="0"/>
  </r>
  <r>
    <x v="6"/>
    <x v="2"/>
    <n v="75"/>
    <x v="0"/>
  </r>
  <r>
    <x v="6"/>
    <x v="3"/>
    <n v="550"/>
    <x v="0"/>
  </r>
  <r>
    <x v="6"/>
    <x v="4"/>
    <n v="400"/>
    <x v="0"/>
  </r>
  <r>
    <x v="6"/>
    <x v="5"/>
    <n v="300"/>
    <x v="0"/>
  </r>
  <r>
    <x v="6"/>
    <x v="6"/>
    <n v="2200"/>
    <x v="1"/>
  </r>
  <r>
    <x v="6"/>
    <x v="7"/>
    <n v="500"/>
    <x v="1"/>
  </r>
  <r>
    <x v="6"/>
    <x v="8"/>
    <n v="100"/>
    <x v="1"/>
  </r>
  <r>
    <x v="7"/>
    <x v="0"/>
    <n v="850"/>
    <x v="0"/>
  </r>
  <r>
    <x v="7"/>
    <x v="1"/>
    <n v="200"/>
    <x v="0"/>
  </r>
  <r>
    <x v="7"/>
    <x v="2"/>
    <n v="75"/>
    <x v="0"/>
  </r>
  <r>
    <x v="7"/>
    <x v="3"/>
    <n v="550"/>
    <x v="0"/>
  </r>
  <r>
    <x v="7"/>
    <x v="4"/>
    <n v="400"/>
    <x v="0"/>
  </r>
  <r>
    <x v="7"/>
    <x v="5"/>
    <n v="300"/>
    <x v="0"/>
  </r>
  <r>
    <x v="7"/>
    <x v="6"/>
    <n v="2200"/>
    <x v="1"/>
  </r>
  <r>
    <x v="7"/>
    <x v="7"/>
    <n v="500"/>
    <x v="1"/>
  </r>
  <r>
    <x v="7"/>
    <x v="8"/>
    <n v="100"/>
    <x v="1"/>
  </r>
  <r>
    <x v="8"/>
    <x v="0"/>
    <n v="850"/>
    <x v="0"/>
  </r>
  <r>
    <x v="8"/>
    <x v="1"/>
    <n v="200"/>
    <x v="0"/>
  </r>
  <r>
    <x v="8"/>
    <x v="2"/>
    <n v="75"/>
    <x v="0"/>
  </r>
  <r>
    <x v="8"/>
    <x v="3"/>
    <n v="550"/>
    <x v="0"/>
  </r>
  <r>
    <x v="8"/>
    <x v="4"/>
    <n v="400"/>
    <x v="0"/>
  </r>
  <r>
    <x v="8"/>
    <x v="5"/>
    <n v="300"/>
    <x v="0"/>
  </r>
  <r>
    <x v="8"/>
    <x v="6"/>
    <n v="2200"/>
    <x v="1"/>
  </r>
  <r>
    <x v="8"/>
    <x v="7"/>
    <n v="500"/>
    <x v="1"/>
  </r>
  <r>
    <x v="8"/>
    <x v="8"/>
    <n v="100"/>
    <x v="1"/>
  </r>
  <r>
    <x v="9"/>
    <x v="0"/>
    <n v="850"/>
    <x v="0"/>
  </r>
  <r>
    <x v="9"/>
    <x v="1"/>
    <n v="200"/>
    <x v="0"/>
  </r>
  <r>
    <x v="9"/>
    <x v="2"/>
    <n v="75"/>
    <x v="0"/>
  </r>
  <r>
    <x v="9"/>
    <x v="3"/>
    <n v="550"/>
    <x v="0"/>
  </r>
  <r>
    <x v="9"/>
    <x v="4"/>
    <n v="400"/>
    <x v="0"/>
  </r>
  <r>
    <x v="9"/>
    <x v="5"/>
    <n v="300"/>
    <x v="0"/>
  </r>
  <r>
    <x v="9"/>
    <x v="6"/>
    <n v="2200"/>
    <x v="1"/>
  </r>
  <r>
    <x v="9"/>
    <x v="7"/>
    <n v="500"/>
    <x v="1"/>
  </r>
  <r>
    <x v="9"/>
    <x v="8"/>
    <n v="100"/>
    <x v="1"/>
  </r>
  <r>
    <x v="10"/>
    <x v="0"/>
    <n v="850"/>
    <x v="0"/>
  </r>
  <r>
    <x v="10"/>
    <x v="1"/>
    <n v="200"/>
    <x v="0"/>
  </r>
  <r>
    <x v="10"/>
    <x v="2"/>
    <n v="75"/>
    <x v="0"/>
  </r>
  <r>
    <x v="10"/>
    <x v="3"/>
    <n v="550"/>
    <x v="0"/>
  </r>
  <r>
    <x v="10"/>
    <x v="4"/>
    <n v="400"/>
    <x v="0"/>
  </r>
  <r>
    <x v="10"/>
    <x v="5"/>
    <n v="300"/>
    <x v="0"/>
  </r>
  <r>
    <x v="10"/>
    <x v="6"/>
    <n v="2200"/>
    <x v="1"/>
  </r>
  <r>
    <x v="10"/>
    <x v="7"/>
    <n v="500"/>
    <x v="1"/>
  </r>
  <r>
    <x v="10"/>
    <x v="8"/>
    <n v="100"/>
    <x v="1"/>
  </r>
  <r>
    <x v="11"/>
    <x v="0"/>
    <n v="850"/>
    <x v="0"/>
  </r>
  <r>
    <x v="11"/>
    <x v="1"/>
    <n v="200"/>
    <x v="0"/>
  </r>
  <r>
    <x v="11"/>
    <x v="2"/>
    <n v="75"/>
    <x v="0"/>
  </r>
  <r>
    <x v="11"/>
    <x v="3"/>
    <n v="550"/>
    <x v="0"/>
  </r>
  <r>
    <x v="11"/>
    <x v="4"/>
    <n v="400"/>
    <x v="0"/>
  </r>
  <r>
    <x v="11"/>
    <x v="5"/>
    <n v="300"/>
    <x v="0"/>
  </r>
  <r>
    <x v="11"/>
    <x v="6"/>
    <n v="2200"/>
    <x v="1"/>
  </r>
  <r>
    <x v="11"/>
    <x v="7"/>
    <n v="500"/>
    <x v="1"/>
  </r>
  <r>
    <x v="11"/>
    <x v="8"/>
    <n v="1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48CEFC-FE08-482C-8C9F-5B4025492AA2}" name="rent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L39" firstHeaderRow="1" firstDataRow="2" firstDataCol="1"/>
  <pivotFields count="4">
    <pivotField axis="axisCol" showAll="0">
      <items count="13">
        <item h="1" x="0"/>
        <item x="1"/>
        <item x="2"/>
        <item x="3"/>
        <item x="4"/>
        <item x="5"/>
        <item h="1" x="6"/>
        <item x="7"/>
        <item x="8"/>
        <item x="9"/>
        <item x="10"/>
        <item x="11"/>
        <item t="default"/>
      </items>
    </pivotField>
    <pivotField axis="axisRow" showAll="0">
      <items count="10">
        <item h="1" x="7"/>
        <item h="1" x="6"/>
        <item h="1" x="3"/>
        <item h="1" x="4"/>
        <item h="1" x="5"/>
        <item x="0"/>
        <item h="1" x="8"/>
        <item h="1" x="2"/>
        <item h="1" x="1"/>
        <item t="default"/>
      </items>
    </pivotField>
    <pivotField dataField="1" numFmtId="165" showAll="0"/>
    <pivotField showAll="0"/>
  </pivotFields>
  <rowFields count="1">
    <field x="1"/>
  </rowFields>
  <rowItems count="2">
    <i>
      <x v="5"/>
    </i>
    <i t="grand">
      <x/>
    </i>
  </rowItems>
  <colFields count="1">
    <field x="0"/>
  </colFields>
  <colItems count="11">
    <i>
      <x v="1"/>
    </i>
    <i>
      <x v="2"/>
    </i>
    <i>
      <x v="3"/>
    </i>
    <i>
      <x v="4"/>
    </i>
    <i>
      <x v="5"/>
    </i>
    <i>
      <x v="7"/>
    </i>
    <i>
      <x v="8"/>
    </i>
    <i>
      <x v="9"/>
    </i>
    <i>
      <x v="10"/>
    </i>
    <i>
      <x v="11"/>
    </i>
    <i t="grand">
      <x/>
    </i>
  </colItems>
  <dataFields count="1">
    <dataField name="Sum of Budget" fld="2" baseField="0" baseItem="0" numFmtId="165"/>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A85072-0986-4D08-862B-0C58820B42F9}" name="groce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D21" firstHeaderRow="1" firstDataRow="2" firstDataCol="1"/>
  <pivotFields count="6">
    <pivotField numFmtId="16" showAll="0"/>
    <pivotField axis="axisCol" showAll="0">
      <items count="6">
        <item x="0"/>
        <item x="1"/>
        <item h="1" x="2"/>
        <item h="1" x="3"/>
        <item h="1" x="4"/>
        <item t="default"/>
      </items>
    </pivotField>
    <pivotField axis="axisRow" showAll="0">
      <items count="10">
        <item h="1" x="7"/>
        <item h="1" x="6"/>
        <item x="3"/>
        <item h="1" x="4"/>
        <item h="1" x="5"/>
        <item h="1" x="0"/>
        <item h="1" x="8"/>
        <item h="1" x="2"/>
        <item h="1" x="1"/>
        <item t="default"/>
      </items>
    </pivotField>
    <pivotField showAll="0"/>
    <pivotField showAll="0"/>
    <pivotField dataField="1" numFmtId="164" showAll="0"/>
  </pivotFields>
  <rowFields count="1">
    <field x="2"/>
  </rowFields>
  <rowItems count="2">
    <i>
      <x v="2"/>
    </i>
    <i t="grand">
      <x/>
    </i>
  </rowItems>
  <colFields count="1">
    <field x="1"/>
  </colFields>
  <colItems count="3">
    <i>
      <x/>
    </i>
    <i>
      <x v="1"/>
    </i>
    <i t="grand">
      <x/>
    </i>
  </colItems>
  <dataFields count="1">
    <dataField name="Sum of Amount" fld="5" baseField="0" baseItem="0" numFmtId="164"/>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15A0E5-22A2-4148-9B72-0F5141B49B2B}" name="groceries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8:L51" firstHeaderRow="1" firstDataRow="2" firstDataCol="1"/>
  <pivotFields count="4">
    <pivotField axis="axisCol" showAll="0">
      <items count="13">
        <item h="1" x="0"/>
        <item x="1"/>
        <item x="2"/>
        <item x="3"/>
        <item x="4"/>
        <item x="5"/>
        <item h="1" x="6"/>
        <item x="7"/>
        <item x="8"/>
        <item x="9"/>
        <item x="10"/>
        <item x="11"/>
        <item t="default"/>
      </items>
    </pivotField>
    <pivotField axis="axisRow" showAll="0">
      <items count="10">
        <item h="1" x="7"/>
        <item h="1" x="6"/>
        <item x="3"/>
        <item h="1" x="4"/>
        <item h="1" x="5"/>
        <item h="1" x="0"/>
        <item h="1" x="8"/>
        <item h="1" x="2"/>
        <item h="1" x="1"/>
        <item t="default"/>
      </items>
    </pivotField>
    <pivotField dataField="1" numFmtId="165" showAll="0"/>
    <pivotField showAll="0"/>
  </pivotFields>
  <rowFields count="1">
    <field x="1"/>
  </rowFields>
  <rowItems count="2">
    <i>
      <x v="2"/>
    </i>
    <i t="grand">
      <x/>
    </i>
  </rowItems>
  <colFields count="1">
    <field x="0"/>
  </colFields>
  <colItems count="11">
    <i>
      <x v="1"/>
    </i>
    <i>
      <x v="2"/>
    </i>
    <i>
      <x v="3"/>
    </i>
    <i>
      <x v="4"/>
    </i>
    <i>
      <x v="5"/>
    </i>
    <i>
      <x v="7"/>
    </i>
    <i>
      <x v="8"/>
    </i>
    <i>
      <x v="9"/>
    </i>
    <i>
      <x v="10"/>
    </i>
    <i>
      <x v="11"/>
    </i>
    <i t="grand">
      <x/>
    </i>
  </colItems>
  <dataFields count="1">
    <dataField name="Sum of Budget" fld="2" baseField="0" baseItem="0" numFmtId="165"/>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DFB9BD-26A9-4726-8114-E10795944771}" name="transport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L45" firstHeaderRow="1" firstDataRow="2" firstDataCol="1"/>
  <pivotFields count="4">
    <pivotField axis="axisCol" showAll="0">
      <items count="13">
        <item h="1" x="0"/>
        <item x="1"/>
        <item x="2"/>
        <item x="3"/>
        <item x="4"/>
        <item x="5"/>
        <item h="1" x="6"/>
        <item x="7"/>
        <item x="8"/>
        <item x="9"/>
        <item x="10"/>
        <item x="11"/>
        <item t="default"/>
      </items>
    </pivotField>
    <pivotField axis="axisRow" showAll="0">
      <items count="10">
        <item h="1" x="7"/>
        <item h="1" x="6"/>
        <item h="1" x="3"/>
        <item h="1" x="4"/>
        <item h="1" x="5"/>
        <item h="1" x="0"/>
        <item h="1" x="8"/>
        <item x="2"/>
        <item h="1" x="1"/>
        <item t="default"/>
      </items>
    </pivotField>
    <pivotField dataField="1" numFmtId="165" showAll="0"/>
    <pivotField showAll="0"/>
  </pivotFields>
  <rowFields count="1">
    <field x="1"/>
  </rowFields>
  <rowItems count="2">
    <i>
      <x v="7"/>
    </i>
    <i t="grand">
      <x/>
    </i>
  </rowItems>
  <colFields count="1">
    <field x="0"/>
  </colFields>
  <colItems count="11">
    <i>
      <x v="1"/>
    </i>
    <i>
      <x v="2"/>
    </i>
    <i>
      <x v="3"/>
    </i>
    <i>
      <x v="4"/>
    </i>
    <i>
      <x v="5"/>
    </i>
    <i>
      <x v="7"/>
    </i>
    <i>
      <x v="8"/>
    </i>
    <i>
      <x v="9"/>
    </i>
    <i>
      <x v="10"/>
    </i>
    <i>
      <x v="11"/>
    </i>
    <i t="grand">
      <x/>
    </i>
  </colItems>
  <dataFields count="1">
    <dataField name="Sum of Budget" fld="2" baseField="0" baseItem="0" numFmtId="165"/>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2D5DE8-8BC6-47FF-AC73-FF25561A9C0A}" name="utilit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D16" firstHeaderRow="1" firstDataRow="2" firstDataCol="1"/>
  <pivotFields count="6">
    <pivotField numFmtId="16" showAll="0"/>
    <pivotField axis="axisCol" showAll="0">
      <items count="6">
        <item x="0"/>
        <item x="1"/>
        <item h="1" x="2"/>
        <item h="1" x="3"/>
        <item h="1" x="4"/>
        <item t="default"/>
      </items>
    </pivotField>
    <pivotField axis="axisRow" showAll="0">
      <items count="10">
        <item h="1" x="7"/>
        <item h="1" x="6"/>
        <item h="1" x="3"/>
        <item h="1" x="4"/>
        <item h="1" x="5"/>
        <item h="1" x="0"/>
        <item h="1" x="8"/>
        <item h="1" x="2"/>
        <item x="1"/>
        <item t="default"/>
      </items>
    </pivotField>
    <pivotField showAll="0"/>
    <pivotField showAll="0"/>
    <pivotField dataField="1" numFmtId="164" showAll="0"/>
  </pivotFields>
  <rowFields count="1">
    <field x="2"/>
  </rowFields>
  <rowItems count="2">
    <i>
      <x v="8"/>
    </i>
    <i t="grand">
      <x/>
    </i>
  </rowItems>
  <colFields count="1">
    <field x="1"/>
  </colFields>
  <colItems count="3">
    <i>
      <x/>
    </i>
    <i>
      <x v="1"/>
    </i>
    <i t="grand">
      <x/>
    </i>
  </colItems>
  <dataFields count="1">
    <dataField name="Sum of Amount" fld="5" baseField="0" baseItem="0" numFmtId="164"/>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C5E53B-D4D6-4CD3-919C-3FF2B291F7DA}" name="leisu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D26" firstHeaderRow="1" firstDataRow="2" firstDataCol="1"/>
  <pivotFields count="6">
    <pivotField numFmtId="16" showAll="0"/>
    <pivotField axis="axisCol" showAll="0">
      <items count="6">
        <item x="0"/>
        <item x="1"/>
        <item h="1" x="2"/>
        <item h="1" x="3"/>
        <item h="1" x="4"/>
        <item t="default"/>
      </items>
    </pivotField>
    <pivotField axis="axisRow" showAll="0">
      <items count="10">
        <item h="1" x="7"/>
        <item h="1" x="6"/>
        <item h="1" x="3"/>
        <item x="4"/>
        <item h="1" x="5"/>
        <item h="1" x="0"/>
        <item h="1" x="8"/>
        <item h="1" x="2"/>
        <item h="1" x="1"/>
        <item t="default"/>
      </items>
    </pivotField>
    <pivotField showAll="0"/>
    <pivotField showAll="0"/>
    <pivotField dataField="1" numFmtId="164" showAll="0"/>
  </pivotFields>
  <rowFields count="1">
    <field x="2"/>
  </rowFields>
  <rowItems count="2">
    <i>
      <x v="3"/>
    </i>
    <i t="grand">
      <x/>
    </i>
  </rowItems>
  <colFields count="1">
    <field x="1"/>
  </colFields>
  <colItems count="3">
    <i>
      <x/>
    </i>
    <i>
      <x v="1"/>
    </i>
    <i t="grand">
      <x/>
    </i>
  </colItems>
  <dataFields count="1">
    <dataField name="Sum of Amount" fld="5" baseField="0" baseItem="0" numFmtId="164"/>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31F6F6-F3BA-4F92-8781-E73D8CF4694E}" name="Bar chartb"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1:L115" firstHeaderRow="1" firstDataRow="2" firstDataCol="1"/>
  <pivotFields count="4">
    <pivotField axis="axisCol" showAll="0">
      <items count="13">
        <item h="1" x="0"/>
        <item x="1"/>
        <item x="2"/>
        <item x="3"/>
        <item x="4"/>
        <item x="5"/>
        <item h="1" x="6"/>
        <item x="7"/>
        <item x="8"/>
        <item x="9"/>
        <item x="10"/>
        <item x="11"/>
        <item t="default"/>
      </items>
    </pivotField>
    <pivotField showAll="0"/>
    <pivotField dataField="1" numFmtId="165" showAll="0"/>
    <pivotField axis="axisRow" showAll="0">
      <items count="3">
        <item x="0"/>
        <item x="1"/>
        <item t="default"/>
      </items>
    </pivotField>
  </pivotFields>
  <rowFields count="1">
    <field x="3"/>
  </rowFields>
  <rowItems count="3">
    <i>
      <x/>
    </i>
    <i>
      <x v="1"/>
    </i>
    <i t="grand">
      <x/>
    </i>
  </rowItems>
  <colFields count="1">
    <field x="0"/>
  </colFields>
  <colItems count="11">
    <i>
      <x v="1"/>
    </i>
    <i>
      <x v="2"/>
    </i>
    <i>
      <x v="3"/>
    </i>
    <i>
      <x v="4"/>
    </i>
    <i>
      <x v="5"/>
    </i>
    <i>
      <x v="7"/>
    </i>
    <i>
      <x v="8"/>
    </i>
    <i>
      <x v="9"/>
    </i>
    <i>
      <x v="10"/>
    </i>
    <i>
      <x v="11"/>
    </i>
    <i t="grand">
      <x/>
    </i>
  </colItems>
  <dataFields count="1">
    <dataField name="Sum of Budget" fld="2" baseField="0" baseItem="0" numFmtId="165"/>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C4B68E-CF94-483A-B34D-5E4D2B1DF966}" name="others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6:L69" firstHeaderRow="1" firstDataRow="2" firstDataCol="1"/>
  <pivotFields count="4">
    <pivotField axis="axisCol" showAll="0">
      <items count="13">
        <item h="1" x="0"/>
        <item x="1"/>
        <item x="2"/>
        <item x="3"/>
        <item x="4"/>
        <item x="5"/>
        <item h="1" x="6"/>
        <item x="7"/>
        <item x="8"/>
        <item x="9"/>
        <item x="10"/>
        <item x="11"/>
        <item t="default"/>
      </items>
    </pivotField>
    <pivotField axis="axisRow" showAll="0">
      <items count="10">
        <item h="1" x="7"/>
        <item h="1" x="6"/>
        <item h="1" x="3"/>
        <item h="1" x="4"/>
        <item x="5"/>
        <item h="1" x="0"/>
        <item h="1" x="8"/>
        <item h="1" x="2"/>
        <item h="1" x="1"/>
        <item t="default"/>
      </items>
    </pivotField>
    <pivotField dataField="1" numFmtId="165" showAll="0"/>
    <pivotField showAll="0"/>
  </pivotFields>
  <rowFields count="1">
    <field x="1"/>
  </rowFields>
  <rowItems count="2">
    <i>
      <x v="4"/>
    </i>
    <i t="grand">
      <x/>
    </i>
  </rowItems>
  <colFields count="1">
    <field x="0"/>
  </colFields>
  <colItems count="11">
    <i>
      <x v="1"/>
    </i>
    <i>
      <x v="2"/>
    </i>
    <i>
      <x v="3"/>
    </i>
    <i>
      <x v="4"/>
    </i>
    <i>
      <x v="5"/>
    </i>
    <i>
      <x v="7"/>
    </i>
    <i>
      <x v="8"/>
    </i>
    <i>
      <x v="9"/>
    </i>
    <i>
      <x v="10"/>
    </i>
    <i>
      <x v="11"/>
    </i>
    <i t="grand">
      <x/>
    </i>
  </colItems>
  <dataFields count="1">
    <dataField name="Sum of Budget" fld="2" baseField="0" baseItem="0" numFmtId="165"/>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B48FF6-6C1C-4BC4-A004-5CCA7C9EBDA2}" name="transpo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D11" firstHeaderRow="1" firstDataRow="2" firstDataCol="1"/>
  <pivotFields count="6">
    <pivotField numFmtId="16" showAll="0"/>
    <pivotField axis="axisCol" showAll="0">
      <items count="6">
        <item x="0"/>
        <item x="1"/>
        <item h="1" x="2"/>
        <item h="1" x="3"/>
        <item h="1" x="4"/>
        <item t="default"/>
      </items>
    </pivotField>
    <pivotField axis="axisRow" showAll="0">
      <items count="10">
        <item h="1" x="7"/>
        <item h="1" x="6"/>
        <item h="1" x="3"/>
        <item h="1" x="4"/>
        <item h="1" x="5"/>
        <item h="1" x="0"/>
        <item h="1" x="8"/>
        <item x="2"/>
        <item h="1" x="1"/>
        <item t="default"/>
      </items>
    </pivotField>
    <pivotField showAll="0"/>
    <pivotField showAll="0"/>
    <pivotField dataField="1" numFmtId="164" showAll="0"/>
  </pivotFields>
  <rowFields count="1">
    <field x="2"/>
  </rowFields>
  <rowItems count="2">
    <i>
      <x v="7"/>
    </i>
    <i t="grand">
      <x/>
    </i>
  </rowItems>
  <colFields count="1">
    <field x="1"/>
  </colFields>
  <colItems count="3">
    <i>
      <x/>
    </i>
    <i>
      <x v="1"/>
    </i>
    <i t="grand">
      <x/>
    </i>
  </colItems>
  <dataFields count="1">
    <dataField name="Sum of Amount" fld="5" baseField="0" baseItem="0" numFmtId="164"/>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5808D61-D450-4F48-8DB8-FB67692C8311}" name="utilities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0:L63" firstHeaderRow="1" firstDataRow="2" firstDataCol="1"/>
  <pivotFields count="4">
    <pivotField axis="axisCol" showAll="0">
      <items count="13">
        <item h="1" x="0"/>
        <item x="1"/>
        <item x="2"/>
        <item x="3"/>
        <item x="4"/>
        <item x="5"/>
        <item h="1" x="6"/>
        <item x="7"/>
        <item x="8"/>
        <item x="9"/>
        <item x="10"/>
        <item x="11"/>
        <item t="default"/>
      </items>
    </pivotField>
    <pivotField axis="axisRow" showAll="0">
      <items count="10">
        <item h="1" x="7"/>
        <item h="1" x="6"/>
        <item h="1" x="3"/>
        <item h="1" x="4"/>
        <item h="1" x="5"/>
        <item h="1" x="0"/>
        <item h="1" x="8"/>
        <item h="1" x="2"/>
        <item x="1"/>
        <item t="default"/>
      </items>
    </pivotField>
    <pivotField dataField="1" numFmtId="165" showAll="0"/>
    <pivotField showAll="0"/>
  </pivotFields>
  <rowFields count="1">
    <field x="1"/>
  </rowFields>
  <rowItems count="2">
    <i>
      <x v="8"/>
    </i>
    <i t="grand">
      <x/>
    </i>
  </rowItems>
  <colFields count="1">
    <field x="0"/>
  </colFields>
  <colItems count="11">
    <i>
      <x v="1"/>
    </i>
    <i>
      <x v="2"/>
    </i>
    <i>
      <x v="3"/>
    </i>
    <i>
      <x v="4"/>
    </i>
    <i>
      <x v="5"/>
    </i>
    <i>
      <x v="7"/>
    </i>
    <i>
      <x v="8"/>
    </i>
    <i>
      <x v="9"/>
    </i>
    <i>
      <x v="10"/>
    </i>
    <i>
      <x v="11"/>
    </i>
    <i t="grand">
      <x/>
    </i>
  </colItems>
  <dataFields count="1">
    <dataField name="Sum of Budget" fld="2" baseField="0" baseItem="0" numFmtId="165"/>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0ABC51-A0EC-4D7A-96C7-FD8A04343E08}" name="leisur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4:L57" firstHeaderRow="1" firstDataRow="2" firstDataCol="1"/>
  <pivotFields count="4">
    <pivotField axis="axisCol" showAll="0">
      <items count="13">
        <item h="1" x="0"/>
        <item x="1"/>
        <item x="2"/>
        <item x="3"/>
        <item x="4"/>
        <item x="5"/>
        <item h="1" x="6"/>
        <item x="7"/>
        <item x="8"/>
        <item x="9"/>
        <item x="10"/>
        <item x="11"/>
        <item t="default"/>
      </items>
    </pivotField>
    <pivotField axis="axisRow" showAll="0">
      <items count="10">
        <item h="1" x="7"/>
        <item h="1" x="6"/>
        <item h="1" x="3"/>
        <item x="4"/>
        <item h="1" x="5"/>
        <item h="1" x="0"/>
        <item h="1" x="8"/>
        <item h="1" x="2"/>
        <item h="1" x="1"/>
        <item t="default"/>
      </items>
    </pivotField>
    <pivotField dataField="1" numFmtId="165" showAll="0"/>
    <pivotField showAll="0"/>
  </pivotFields>
  <rowFields count="1">
    <field x="1"/>
  </rowFields>
  <rowItems count="2">
    <i>
      <x v="3"/>
    </i>
    <i t="grand">
      <x/>
    </i>
  </rowItems>
  <colFields count="1">
    <field x="0"/>
  </colFields>
  <colItems count="11">
    <i>
      <x v="1"/>
    </i>
    <i>
      <x v="2"/>
    </i>
    <i>
      <x v="3"/>
    </i>
    <i>
      <x v="4"/>
    </i>
    <i>
      <x v="5"/>
    </i>
    <i>
      <x v="7"/>
    </i>
    <i>
      <x v="8"/>
    </i>
    <i>
      <x v="9"/>
    </i>
    <i>
      <x v="10"/>
    </i>
    <i>
      <x v="11"/>
    </i>
    <i t="grand">
      <x/>
    </i>
  </colItems>
  <dataFields count="1">
    <dataField name="Sum of Budget" fld="2" baseField="0" baseItem="0" numFmtId="165"/>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2596488-8F2F-4A8E-B6BB-599F01F5648B}"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5:D83" firstHeaderRow="1" firstDataRow="2" firstDataCol="1" rowPageCount="1" colPageCount="1"/>
  <pivotFields count="6">
    <pivotField numFmtId="16" showAll="0"/>
    <pivotField axis="axisCol" showAll="0">
      <items count="6">
        <item x="0"/>
        <item x="1"/>
        <item h="1" x="2"/>
        <item h="1" x="3"/>
        <item h="1" x="4"/>
        <item t="default"/>
      </items>
    </pivotField>
    <pivotField axis="axisRow" showAll="0">
      <items count="10">
        <item x="7"/>
        <item x="6"/>
        <item x="3"/>
        <item x="4"/>
        <item x="5"/>
        <item x="0"/>
        <item x="8"/>
        <item x="2"/>
        <item x="1"/>
        <item t="default"/>
      </items>
    </pivotField>
    <pivotField showAll="0"/>
    <pivotField axis="axisPage" showAll="0">
      <items count="3">
        <item x="0"/>
        <item x="1"/>
        <item t="default"/>
      </items>
    </pivotField>
    <pivotField dataField="1" numFmtId="164" showAll="0"/>
  </pivotFields>
  <rowFields count="1">
    <field x="2"/>
  </rowFields>
  <rowItems count="7">
    <i>
      <x v="2"/>
    </i>
    <i>
      <x v="3"/>
    </i>
    <i>
      <x v="4"/>
    </i>
    <i>
      <x v="5"/>
    </i>
    <i>
      <x v="7"/>
    </i>
    <i>
      <x v="8"/>
    </i>
    <i t="grand">
      <x/>
    </i>
  </rowItems>
  <colFields count="1">
    <field x="1"/>
  </colFields>
  <colItems count="3">
    <i>
      <x/>
    </i>
    <i>
      <x v="1"/>
    </i>
    <i t="grand">
      <x/>
    </i>
  </colItems>
  <pageFields count="1">
    <pageField fld="4" item="0" hier="-1"/>
  </pageFields>
  <dataFields count="1">
    <dataField name="Sum of Amount" fld="5" baseField="0" baseItem="0" numFmtId="16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E56E70B-895A-47A4-9691-4926570AB0BC}" name="oth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D31" firstHeaderRow="1" firstDataRow="2" firstDataCol="1"/>
  <pivotFields count="6">
    <pivotField numFmtId="16" showAll="0"/>
    <pivotField axis="axisCol" showAll="0">
      <items count="6">
        <item x="0"/>
        <item x="1"/>
        <item h="1" x="2"/>
        <item h="1" x="3"/>
        <item h="1" x="4"/>
        <item t="default"/>
      </items>
    </pivotField>
    <pivotField axis="axisRow" showAll="0">
      <items count="10">
        <item h="1" x="7"/>
        <item h="1" x="6"/>
        <item h="1" x="3"/>
        <item h="1" x="4"/>
        <item x="5"/>
        <item h="1" x="0"/>
        <item h="1" x="8"/>
        <item h="1" x="2"/>
        <item h="1" x="1"/>
        <item t="default"/>
      </items>
    </pivotField>
    <pivotField showAll="0"/>
    <pivotField showAll="0"/>
    <pivotField dataField="1" numFmtId="164" showAll="0"/>
  </pivotFields>
  <rowFields count="1">
    <field x="2"/>
  </rowFields>
  <rowItems count="2">
    <i>
      <x v="4"/>
    </i>
    <i t="grand">
      <x/>
    </i>
  </rowItems>
  <colFields count="1">
    <field x="1"/>
  </colFields>
  <colItems count="3">
    <i>
      <x/>
    </i>
    <i>
      <x v="1"/>
    </i>
    <i t="grand">
      <x/>
    </i>
  </colItems>
  <dataFields count="1">
    <dataField name="Sum of Amount" fld="5" baseField="0" baseItem="0" numFmtId="164"/>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D0ECA21-536A-407D-8B02-944A0C3F74ED}"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4:D98" firstHeaderRow="1" firstDataRow="2" firstDataCol="1"/>
  <pivotFields count="6">
    <pivotField numFmtId="16" showAll="0"/>
    <pivotField axis="axisCol" showAll="0">
      <items count="6">
        <item x="0"/>
        <item x="1"/>
        <item h="1" x="2"/>
        <item h="1" x="3"/>
        <item h="1" x="4"/>
        <item t="default"/>
      </items>
    </pivotField>
    <pivotField showAll="0">
      <items count="10">
        <item x="7"/>
        <item x="6"/>
        <item x="3"/>
        <item x="4"/>
        <item x="5"/>
        <item x="0"/>
        <item x="8"/>
        <item x="2"/>
        <item x="1"/>
        <item t="default"/>
      </items>
    </pivotField>
    <pivotField showAll="0"/>
    <pivotField axis="axisRow" showAll="0">
      <items count="3">
        <item x="0"/>
        <item x="1"/>
        <item t="default"/>
      </items>
    </pivotField>
    <pivotField dataField="1" numFmtId="164" showAll="0"/>
  </pivotFields>
  <rowFields count="1">
    <field x="4"/>
  </rowFields>
  <rowItems count="3">
    <i>
      <x/>
    </i>
    <i>
      <x v="1"/>
    </i>
    <i t="grand">
      <x/>
    </i>
  </rowItems>
  <colFields count="1">
    <field x="1"/>
  </colFields>
  <colItems count="3">
    <i>
      <x/>
    </i>
    <i>
      <x v="1"/>
    </i>
    <i t="grand">
      <x/>
    </i>
  </colItems>
  <dataFields count="1">
    <dataField name="Sum of Amount" fld="5" baseField="0" baseItem="0" numFmtId="16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757FAAE-9A41-4775-B2E3-6D960883E6C9}" name="r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6" firstHeaderRow="1" firstDataRow="2" firstDataCol="1"/>
  <pivotFields count="6">
    <pivotField numFmtId="16" showAll="0"/>
    <pivotField axis="axisCol" showAll="0">
      <items count="6">
        <item x="0"/>
        <item x="1"/>
        <item h="1" x="2"/>
        <item h="1" x="3"/>
        <item h="1" x="4"/>
        <item t="default"/>
      </items>
    </pivotField>
    <pivotField axis="axisRow" showAll="0">
      <items count="10">
        <item h="1" x="7"/>
        <item h="1" x="6"/>
        <item h="1" x="3"/>
        <item h="1" x="4"/>
        <item h="1" x="5"/>
        <item x="0"/>
        <item h="1" x="8"/>
        <item h="1" x="2"/>
        <item h="1" x="1"/>
        <item t="default"/>
      </items>
    </pivotField>
    <pivotField showAll="0"/>
    <pivotField showAll="0"/>
    <pivotField dataField="1" numFmtId="164" showAll="0"/>
  </pivotFields>
  <rowFields count="1">
    <field x="2"/>
  </rowFields>
  <rowItems count="2">
    <i>
      <x v="5"/>
    </i>
    <i t="grand">
      <x/>
    </i>
  </rowItems>
  <colFields count="1">
    <field x="1"/>
  </colFields>
  <colItems count="3">
    <i>
      <x/>
    </i>
    <i>
      <x v="1"/>
    </i>
    <i t="grand">
      <x/>
    </i>
  </colItems>
  <dataFields count="1">
    <dataField name="Sum of Amount" fld="5" baseField="0" baseItem="0" numFmtId="164"/>
  </dataFields>
  <formats count="1">
    <format dxfId="0">
      <pivotArea field="2" grandCol="1" collapsedLevelsAreSubtotals="1" axis="axisRow" fieldPosition="0">
        <references count="1">
          <reference field="2" count="0"/>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F534174-EBE1-49AF-A83A-3D9E2DD48E8D}" sourceName="Month">
  <pivotTables>
    <pivotTable tabId="7" name="rent"/>
    <pivotTable tabId="7" name="grocery"/>
    <pivotTable tabId="7" name="leisure"/>
    <pivotTable tabId="7" name="others"/>
    <pivotTable tabId="7" name="transport"/>
    <pivotTable tabId="7" name="utilities"/>
    <pivotTable tabId="7" name="PivotTable15"/>
    <pivotTable tabId="7" name="PivotTable22"/>
  </pivotTables>
  <data>
    <tabular pivotCacheId="732697347">
      <items count="5">
        <i x="0" s="1"/>
        <i x="1" s="1"/>
        <i x="2"/>
        <i x="3"/>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FD5B9401-597E-41EB-81CE-36318A0713EC}" sourceName="Month">
  <pivotTables>
    <pivotTable tabId="7" name="rent1"/>
    <pivotTable tabId="7" name="groceries1"/>
    <pivotTable tabId="7" name="leisure1"/>
    <pivotTable tabId="7" name="others1"/>
    <pivotTable tabId="7" name="transport1"/>
    <pivotTable tabId="7" name="utilities1"/>
    <pivotTable tabId="7" name="Bar chartb"/>
  </pivotTables>
  <data>
    <tabular pivotCacheId="2128713623">
      <items count="12">
        <i x="0"/>
        <i x="1" s="1"/>
        <i x="2" s="1"/>
        <i x="3" s="1"/>
        <i x="4" s="1"/>
        <i x="5" s="1"/>
        <i x="6"/>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8D9473D-B3C3-4329-9207-C7D10CA7EDC4}" cache="Slicer_Month" caption="Anualls" style="SlicerStyleOther2" rowHeight="260350"/>
  <slicer name="Month 1" xr10:uid="{365C5FF5-ADDD-4120-A119-9A8F28FADAB6}" cache="Slicer_Month1" caption="Budget"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J4:K13">
  <tableColumns count="2">
    <tableColumn id="1" xr3:uid="{00000000-0010-0000-0000-000001000000}" name="Category"/>
    <tableColumn id="2" xr3:uid="{00000000-0010-0000-0000-000002000000}" name="Income/Expense"/>
  </tableColumns>
  <tableStyleInfo name="Actual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4:G60">
  <tableColumns count="6">
    <tableColumn id="1" xr3:uid="{00000000-0010-0000-0100-000001000000}" name="Date"/>
    <tableColumn id="2" xr3:uid="{00000000-0010-0000-0100-000002000000}" name="Month"/>
    <tableColumn id="3" xr3:uid="{00000000-0010-0000-0100-000003000000}" name="Category"/>
    <tableColumn id="4" xr3:uid="{00000000-0010-0000-0100-000004000000}" name="Description"/>
    <tableColumn id="5" xr3:uid="{00000000-0010-0000-0100-000005000000}" name="Income / Expense">
      <calculatedColumnFormula>_xlfn.XLOOKUP(Actuals!$D5,$J$5:$J$13,$K$5:$K$13)</calculatedColumnFormula>
    </tableColumn>
    <tableColumn id="6" xr3:uid="{00000000-0010-0000-0100-000006000000}" name="Amount"/>
  </tableColumns>
  <tableStyleInfo name="Actual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4:E112">
  <tableColumns count="4">
    <tableColumn id="1" xr3:uid="{00000000-0010-0000-0200-000001000000}" name="Month"/>
    <tableColumn id="2" xr3:uid="{00000000-0010-0000-0200-000002000000}" name="Category"/>
    <tableColumn id="3" xr3:uid="{00000000-0010-0000-0200-000003000000}" name="Budget"/>
    <tableColumn id="4" xr3:uid="{00000000-0010-0000-0200-000004000000}" name="Income/Expense">
      <calculatedColumnFormula>_xlfn.XLOOKUP(Budget!$C5,Actuals!$J$5:$J$13,Actuals!$K$5:$K$13)</calculatedColumnFormula>
    </tableColumn>
  </tableColumns>
  <tableStyleInfo name="Budge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77B49-8119-41D6-9EDD-DBC7348478A5}">
  <dimension ref="A1:N118"/>
  <sheetViews>
    <sheetView topLeftCell="A98" zoomScale="98" zoomScaleNormal="70" workbookViewId="0">
      <selection activeCell="A118" activeCellId="1" sqref="A109:B109 A118:B118"/>
    </sheetView>
  </sheetViews>
  <sheetFormatPr defaultRowHeight="15.6" x14ac:dyDescent="0.3"/>
  <cols>
    <col min="1" max="1" width="13.5" bestFit="1" customWidth="1"/>
    <col min="2" max="2" width="15.5" bestFit="1" customWidth="1"/>
    <col min="3" max="7" width="9.09765625" bestFit="1" customWidth="1"/>
    <col min="8" max="8" width="10.19921875" bestFit="1" customWidth="1"/>
    <col min="9" max="9" width="9.09765625" bestFit="1" customWidth="1"/>
    <col min="10" max="10" width="9.796875" bestFit="1" customWidth="1"/>
    <col min="11" max="11" width="9.5" bestFit="1" customWidth="1"/>
    <col min="12" max="14" width="11.09765625" bestFit="1" customWidth="1"/>
  </cols>
  <sheetData>
    <row r="1" spans="1:4" ht="21" x14ac:dyDescent="0.4">
      <c r="A1" s="19" t="s">
        <v>71</v>
      </c>
    </row>
    <row r="3" spans="1:4" x14ac:dyDescent="0.3">
      <c r="A3" s="12" t="s">
        <v>60</v>
      </c>
      <c r="B3" s="12" t="s">
        <v>63</v>
      </c>
    </row>
    <row r="4" spans="1:4" x14ac:dyDescent="0.3">
      <c r="A4" s="12" t="s">
        <v>61</v>
      </c>
      <c r="B4" t="s">
        <v>47</v>
      </c>
      <c r="C4" t="s">
        <v>48</v>
      </c>
      <c r="D4" t="s">
        <v>62</v>
      </c>
    </row>
    <row r="5" spans="1:4" x14ac:dyDescent="0.3">
      <c r="A5" s="13" t="s">
        <v>1</v>
      </c>
      <c r="B5" s="14">
        <v>850</v>
      </c>
      <c r="C5" s="14">
        <v>850</v>
      </c>
      <c r="D5" s="15">
        <v>1700</v>
      </c>
    </row>
    <row r="6" spans="1:4" x14ac:dyDescent="0.3">
      <c r="A6" s="13" t="s">
        <v>62</v>
      </c>
      <c r="B6" s="14">
        <v>850</v>
      </c>
      <c r="C6" s="14">
        <v>850</v>
      </c>
      <c r="D6" s="14">
        <v>1700</v>
      </c>
    </row>
    <row r="8" spans="1:4" x14ac:dyDescent="0.3">
      <c r="A8" s="12" t="s">
        <v>60</v>
      </c>
      <c r="B8" s="12" t="s">
        <v>63</v>
      </c>
    </row>
    <row r="9" spans="1:4" x14ac:dyDescent="0.3">
      <c r="A9" s="12" t="s">
        <v>61</v>
      </c>
      <c r="B9" t="s">
        <v>47</v>
      </c>
      <c r="C9" t="s">
        <v>48</v>
      </c>
      <c r="D9" t="s">
        <v>62</v>
      </c>
    </row>
    <row r="10" spans="1:4" x14ac:dyDescent="0.3">
      <c r="A10" s="13" t="s">
        <v>2</v>
      </c>
      <c r="B10" s="14">
        <v>55</v>
      </c>
      <c r="C10" s="14">
        <v>55</v>
      </c>
      <c r="D10" s="14">
        <v>110</v>
      </c>
    </row>
    <row r="11" spans="1:4" x14ac:dyDescent="0.3">
      <c r="A11" s="13" t="s">
        <v>62</v>
      </c>
      <c r="B11" s="14">
        <v>55</v>
      </c>
      <c r="C11" s="14">
        <v>55</v>
      </c>
      <c r="D11" s="14">
        <v>110</v>
      </c>
    </row>
    <row r="13" spans="1:4" x14ac:dyDescent="0.3">
      <c r="A13" s="12" t="s">
        <v>60</v>
      </c>
      <c r="B13" s="12" t="s">
        <v>63</v>
      </c>
    </row>
    <row r="14" spans="1:4" x14ac:dyDescent="0.3">
      <c r="A14" s="12" t="s">
        <v>61</v>
      </c>
      <c r="B14" t="s">
        <v>47</v>
      </c>
      <c r="C14" t="s">
        <v>48</v>
      </c>
      <c r="D14" t="s">
        <v>62</v>
      </c>
    </row>
    <row r="15" spans="1:4" x14ac:dyDescent="0.3">
      <c r="A15" s="13" t="s">
        <v>4</v>
      </c>
      <c r="B15" s="14">
        <v>140</v>
      </c>
      <c r="C15" s="14">
        <v>105</v>
      </c>
      <c r="D15" s="14">
        <v>245</v>
      </c>
    </row>
    <row r="16" spans="1:4" x14ac:dyDescent="0.3">
      <c r="A16" s="13" t="s">
        <v>62</v>
      </c>
      <c r="B16" s="14">
        <v>140</v>
      </c>
      <c r="C16" s="14">
        <v>105</v>
      </c>
      <c r="D16" s="14">
        <v>245</v>
      </c>
    </row>
    <row r="18" spans="1:4" x14ac:dyDescent="0.3">
      <c r="A18" s="12" t="s">
        <v>60</v>
      </c>
      <c r="B18" s="12" t="s">
        <v>63</v>
      </c>
    </row>
    <row r="19" spans="1:4" x14ac:dyDescent="0.3">
      <c r="A19" s="12" t="s">
        <v>61</v>
      </c>
      <c r="B19" t="s">
        <v>47</v>
      </c>
      <c r="C19" t="s">
        <v>48</v>
      </c>
      <c r="D19" t="s">
        <v>62</v>
      </c>
    </row>
    <row r="20" spans="1:4" x14ac:dyDescent="0.3">
      <c r="A20" s="13" t="s">
        <v>20</v>
      </c>
      <c r="B20" s="14">
        <v>449</v>
      </c>
      <c r="C20" s="14">
        <v>305</v>
      </c>
      <c r="D20" s="14">
        <v>754</v>
      </c>
    </row>
    <row r="21" spans="1:4" x14ac:dyDescent="0.3">
      <c r="A21" s="13" t="s">
        <v>62</v>
      </c>
      <c r="B21" s="14">
        <v>449</v>
      </c>
      <c r="C21" s="14">
        <v>305</v>
      </c>
      <c r="D21" s="14">
        <v>754</v>
      </c>
    </row>
    <row r="23" spans="1:4" x14ac:dyDescent="0.3">
      <c r="A23" s="12" t="s">
        <v>60</v>
      </c>
      <c r="B23" s="12" t="s">
        <v>63</v>
      </c>
    </row>
    <row r="24" spans="1:4" x14ac:dyDescent="0.3">
      <c r="A24" s="12" t="s">
        <v>61</v>
      </c>
      <c r="B24" t="s">
        <v>47</v>
      </c>
      <c r="C24" t="s">
        <v>48</v>
      </c>
      <c r="D24" t="s">
        <v>62</v>
      </c>
    </row>
    <row r="25" spans="1:4" x14ac:dyDescent="0.3">
      <c r="A25" s="13" t="s">
        <v>5</v>
      </c>
      <c r="B25" s="14">
        <v>562</v>
      </c>
      <c r="C25" s="14">
        <v>194</v>
      </c>
      <c r="D25" s="14">
        <v>756</v>
      </c>
    </row>
    <row r="26" spans="1:4" x14ac:dyDescent="0.3">
      <c r="A26" s="13" t="s">
        <v>62</v>
      </c>
      <c r="B26" s="14">
        <v>562</v>
      </c>
      <c r="C26" s="14">
        <v>194</v>
      </c>
      <c r="D26" s="14">
        <v>756</v>
      </c>
    </row>
    <row r="28" spans="1:4" x14ac:dyDescent="0.3">
      <c r="A28" s="12" t="s">
        <v>60</v>
      </c>
      <c r="B28" s="12" t="s">
        <v>63</v>
      </c>
    </row>
    <row r="29" spans="1:4" x14ac:dyDescent="0.3">
      <c r="A29" s="12" t="s">
        <v>61</v>
      </c>
      <c r="B29" t="s">
        <v>47</v>
      </c>
      <c r="C29" t="s">
        <v>48</v>
      </c>
      <c r="D29" t="s">
        <v>62</v>
      </c>
    </row>
    <row r="30" spans="1:4" x14ac:dyDescent="0.3">
      <c r="A30" s="13" t="s">
        <v>6</v>
      </c>
      <c r="B30" s="14">
        <v>249</v>
      </c>
      <c r="C30" s="14">
        <v>18</v>
      </c>
      <c r="D30" s="14">
        <v>267</v>
      </c>
    </row>
    <row r="31" spans="1:4" x14ac:dyDescent="0.3">
      <c r="A31" s="13" t="s">
        <v>62</v>
      </c>
      <c r="B31" s="14">
        <v>249</v>
      </c>
      <c r="C31" s="14">
        <v>18</v>
      </c>
      <c r="D31" s="14">
        <v>267</v>
      </c>
    </row>
    <row r="32" spans="1:4" x14ac:dyDescent="0.3">
      <c r="A32" s="13"/>
      <c r="B32" s="14"/>
      <c r="C32" s="14"/>
    </row>
    <row r="33" spans="1:14" ht="18" x14ac:dyDescent="0.35">
      <c r="A33" s="20" t="s">
        <v>46</v>
      </c>
      <c r="B33" s="14"/>
      <c r="C33" s="14"/>
    </row>
    <row r="34" spans="1:14" x14ac:dyDescent="0.3">
      <c r="A34" s="13"/>
      <c r="B34" s="14"/>
      <c r="C34" s="14"/>
    </row>
    <row r="35" spans="1:14" x14ac:dyDescent="0.3">
      <c r="A35" s="13" t="s">
        <v>65</v>
      </c>
      <c r="B35">
        <f>GETPIVOTDATA("Budget",$A$36,"Category","Rent")</f>
        <v>8500</v>
      </c>
    </row>
    <row r="36" spans="1:14" x14ac:dyDescent="0.3">
      <c r="A36" s="12" t="s">
        <v>64</v>
      </c>
      <c r="B36" s="12" t="s">
        <v>63</v>
      </c>
    </row>
    <row r="37" spans="1:14" x14ac:dyDescent="0.3">
      <c r="A37" s="12" t="s">
        <v>61</v>
      </c>
      <c r="B37" t="s">
        <v>48</v>
      </c>
      <c r="C37" t="s">
        <v>49</v>
      </c>
      <c r="D37" t="s">
        <v>50</v>
      </c>
      <c r="E37" t="s">
        <v>51</v>
      </c>
      <c r="F37" t="s">
        <v>52</v>
      </c>
      <c r="G37" t="s">
        <v>54</v>
      </c>
      <c r="H37" t="s">
        <v>55</v>
      </c>
      <c r="I37" t="s">
        <v>56</v>
      </c>
      <c r="J37" t="s">
        <v>57</v>
      </c>
      <c r="K37" t="s">
        <v>58</v>
      </c>
      <c r="L37" t="s">
        <v>62</v>
      </c>
    </row>
    <row r="38" spans="1:14" x14ac:dyDescent="0.3">
      <c r="A38" s="13" t="s">
        <v>1</v>
      </c>
      <c r="B38" s="16">
        <v>850</v>
      </c>
      <c r="C38" s="16">
        <v>850</v>
      </c>
      <c r="D38" s="16">
        <v>850</v>
      </c>
      <c r="E38" s="16">
        <v>850</v>
      </c>
      <c r="F38" s="16">
        <v>850</v>
      </c>
      <c r="G38" s="16">
        <v>850</v>
      </c>
      <c r="H38" s="16">
        <v>850</v>
      </c>
      <c r="I38" s="16">
        <v>850</v>
      </c>
      <c r="J38" s="16">
        <v>850</v>
      </c>
      <c r="K38" s="16">
        <v>850</v>
      </c>
      <c r="L38" s="16">
        <v>8500</v>
      </c>
    </row>
    <row r="39" spans="1:14" x14ac:dyDescent="0.3">
      <c r="A39" s="13" t="s">
        <v>62</v>
      </c>
      <c r="B39" s="16">
        <v>850</v>
      </c>
      <c r="C39" s="16">
        <v>850</v>
      </c>
      <c r="D39" s="16">
        <v>850</v>
      </c>
      <c r="E39" s="16">
        <v>850</v>
      </c>
      <c r="F39" s="16">
        <v>850</v>
      </c>
      <c r="G39" s="16">
        <v>850</v>
      </c>
      <c r="H39" s="16">
        <v>850</v>
      </c>
      <c r="I39" s="16">
        <v>850</v>
      </c>
      <c r="J39" s="16">
        <v>850</v>
      </c>
      <c r="K39" s="16">
        <v>850</v>
      </c>
      <c r="L39" s="16">
        <v>8500</v>
      </c>
    </row>
    <row r="40" spans="1:14" x14ac:dyDescent="0.3">
      <c r="A40" s="13"/>
      <c r="B40" s="16"/>
      <c r="C40" s="16"/>
      <c r="D40" s="16"/>
      <c r="E40" s="16"/>
      <c r="F40" s="16"/>
      <c r="G40" s="16"/>
      <c r="H40" s="16"/>
      <c r="I40" s="16"/>
      <c r="J40" s="16"/>
      <c r="K40" s="16"/>
      <c r="L40" s="16"/>
      <c r="M40" s="16"/>
      <c r="N40" s="16"/>
    </row>
    <row r="41" spans="1:14" x14ac:dyDescent="0.3">
      <c r="A41" s="13" t="s">
        <v>65</v>
      </c>
      <c r="B41">
        <f>GETPIVOTDATA("Budget",$A$42,"Category","Transport")</f>
        <v>750</v>
      </c>
    </row>
    <row r="42" spans="1:14" x14ac:dyDescent="0.3">
      <c r="A42" s="12" t="s">
        <v>64</v>
      </c>
      <c r="B42" s="12" t="s">
        <v>63</v>
      </c>
    </row>
    <row r="43" spans="1:14" x14ac:dyDescent="0.3">
      <c r="A43" s="12" t="s">
        <v>61</v>
      </c>
      <c r="B43" t="s">
        <v>48</v>
      </c>
      <c r="C43" t="s">
        <v>49</v>
      </c>
      <c r="D43" t="s">
        <v>50</v>
      </c>
      <c r="E43" t="s">
        <v>51</v>
      </c>
      <c r="F43" t="s">
        <v>52</v>
      </c>
      <c r="G43" t="s">
        <v>54</v>
      </c>
      <c r="H43" t="s">
        <v>55</v>
      </c>
      <c r="I43" t="s">
        <v>56</v>
      </c>
      <c r="J43" t="s">
        <v>57</v>
      </c>
      <c r="K43" t="s">
        <v>58</v>
      </c>
      <c r="L43" t="s">
        <v>62</v>
      </c>
    </row>
    <row r="44" spans="1:14" x14ac:dyDescent="0.3">
      <c r="A44" s="13" t="s">
        <v>2</v>
      </c>
      <c r="B44" s="16">
        <v>75</v>
      </c>
      <c r="C44" s="16">
        <v>75</v>
      </c>
      <c r="D44" s="16">
        <v>75</v>
      </c>
      <c r="E44" s="16">
        <v>75</v>
      </c>
      <c r="F44" s="16">
        <v>75</v>
      </c>
      <c r="G44" s="16">
        <v>75</v>
      </c>
      <c r="H44" s="16">
        <v>75</v>
      </c>
      <c r="I44" s="16">
        <v>75</v>
      </c>
      <c r="J44" s="16">
        <v>75</v>
      </c>
      <c r="K44" s="16">
        <v>75</v>
      </c>
      <c r="L44" s="16">
        <v>750</v>
      </c>
    </row>
    <row r="45" spans="1:14" x14ac:dyDescent="0.3">
      <c r="A45" s="13" t="s">
        <v>62</v>
      </c>
      <c r="B45" s="16">
        <v>75</v>
      </c>
      <c r="C45" s="16">
        <v>75</v>
      </c>
      <c r="D45" s="16">
        <v>75</v>
      </c>
      <c r="E45" s="16">
        <v>75</v>
      </c>
      <c r="F45" s="16">
        <v>75</v>
      </c>
      <c r="G45" s="16">
        <v>75</v>
      </c>
      <c r="H45" s="16">
        <v>75</v>
      </c>
      <c r="I45" s="16">
        <v>75</v>
      </c>
      <c r="J45" s="16">
        <v>75</v>
      </c>
      <c r="K45" s="16">
        <v>75</v>
      </c>
      <c r="L45" s="16">
        <v>750</v>
      </c>
    </row>
    <row r="46" spans="1:14" x14ac:dyDescent="0.3">
      <c r="A46" s="13"/>
      <c r="B46" s="16"/>
      <c r="C46" s="16"/>
      <c r="D46" s="16"/>
      <c r="E46" s="16"/>
      <c r="F46" s="16"/>
      <c r="G46" s="16"/>
      <c r="H46" s="16"/>
      <c r="I46" s="16"/>
      <c r="J46" s="16"/>
      <c r="K46" s="16"/>
      <c r="L46" s="16"/>
      <c r="M46" s="16"/>
      <c r="N46" s="16"/>
    </row>
    <row r="47" spans="1:14" x14ac:dyDescent="0.3">
      <c r="A47" s="13" t="s">
        <v>65</v>
      </c>
      <c r="B47">
        <f>GETPIVOTDATA("Budget",$A$48,"Category","Groceries")</f>
        <v>5500</v>
      </c>
    </row>
    <row r="48" spans="1:14" x14ac:dyDescent="0.3">
      <c r="A48" s="12" t="s">
        <v>64</v>
      </c>
      <c r="B48" s="12" t="s">
        <v>63</v>
      </c>
    </row>
    <row r="49" spans="1:14" x14ac:dyDescent="0.3">
      <c r="A49" s="12" t="s">
        <v>61</v>
      </c>
      <c r="B49" t="s">
        <v>48</v>
      </c>
      <c r="C49" t="s">
        <v>49</v>
      </c>
      <c r="D49" t="s">
        <v>50</v>
      </c>
      <c r="E49" t="s">
        <v>51</v>
      </c>
      <c r="F49" t="s">
        <v>52</v>
      </c>
      <c r="G49" t="s">
        <v>54</v>
      </c>
      <c r="H49" t="s">
        <v>55</v>
      </c>
      <c r="I49" t="s">
        <v>56</v>
      </c>
      <c r="J49" t="s">
        <v>57</v>
      </c>
      <c r="K49" t="s">
        <v>58</v>
      </c>
      <c r="L49" t="s">
        <v>62</v>
      </c>
    </row>
    <row r="50" spans="1:14" x14ac:dyDescent="0.3">
      <c r="A50" s="13" t="s">
        <v>20</v>
      </c>
      <c r="B50" s="16">
        <v>550</v>
      </c>
      <c r="C50" s="16">
        <v>550</v>
      </c>
      <c r="D50" s="16">
        <v>550</v>
      </c>
      <c r="E50" s="16">
        <v>550</v>
      </c>
      <c r="F50" s="16">
        <v>550</v>
      </c>
      <c r="G50" s="16">
        <v>550</v>
      </c>
      <c r="H50" s="16">
        <v>550</v>
      </c>
      <c r="I50" s="16">
        <v>550</v>
      </c>
      <c r="J50" s="16">
        <v>550</v>
      </c>
      <c r="K50" s="16">
        <v>550</v>
      </c>
      <c r="L50" s="16">
        <v>5500</v>
      </c>
    </row>
    <row r="51" spans="1:14" x14ac:dyDescent="0.3">
      <c r="A51" s="13" t="s">
        <v>62</v>
      </c>
      <c r="B51" s="16">
        <v>550</v>
      </c>
      <c r="C51" s="16">
        <v>550</v>
      </c>
      <c r="D51" s="16">
        <v>550</v>
      </c>
      <c r="E51" s="16">
        <v>550</v>
      </c>
      <c r="F51" s="16">
        <v>550</v>
      </c>
      <c r="G51" s="16">
        <v>550</v>
      </c>
      <c r="H51" s="16">
        <v>550</v>
      </c>
      <c r="I51" s="16">
        <v>550</v>
      </c>
      <c r="J51" s="16">
        <v>550</v>
      </c>
      <c r="K51" s="16">
        <v>550</v>
      </c>
      <c r="L51" s="16">
        <v>5500</v>
      </c>
    </row>
    <row r="52" spans="1:14" x14ac:dyDescent="0.3">
      <c r="A52" s="13"/>
      <c r="B52" s="16"/>
      <c r="C52" s="16"/>
      <c r="D52" s="16"/>
      <c r="E52" s="16"/>
      <c r="F52" s="16"/>
      <c r="G52" s="16"/>
      <c r="H52" s="16"/>
      <c r="I52" s="16"/>
      <c r="J52" s="16"/>
      <c r="K52" s="16"/>
      <c r="L52" s="16"/>
      <c r="M52" s="16"/>
      <c r="N52" s="16"/>
    </row>
    <row r="53" spans="1:14" x14ac:dyDescent="0.3">
      <c r="A53" s="13" t="s">
        <v>65</v>
      </c>
      <c r="B53">
        <f>GETPIVOTDATA("Budget",$A$54,"Category","Leisure")</f>
        <v>4000</v>
      </c>
    </row>
    <row r="54" spans="1:14" x14ac:dyDescent="0.3">
      <c r="A54" s="12" t="s">
        <v>64</v>
      </c>
      <c r="B54" s="12" t="s">
        <v>63</v>
      </c>
    </row>
    <row r="55" spans="1:14" x14ac:dyDescent="0.3">
      <c r="A55" s="12" t="s">
        <v>61</v>
      </c>
      <c r="B55" t="s">
        <v>48</v>
      </c>
      <c r="C55" t="s">
        <v>49</v>
      </c>
      <c r="D55" t="s">
        <v>50</v>
      </c>
      <c r="E55" t="s">
        <v>51</v>
      </c>
      <c r="F55" t="s">
        <v>52</v>
      </c>
      <c r="G55" t="s">
        <v>54</v>
      </c>
      <c r="H55" t="s">
        <v>55</v>
      </c>
      <c r="I55" t="s">
        <v>56</v>
      </c>
      <c r="J55" t="s">
        <v>57</v>
      </c>
      <c r="K55" t="s">
        <v>58</v>
      </c>
      <c r="L55" t="s">
        <v>62</v>
      </c>
    </row>
    <row r="56" spans="1:14" x14ac:dyDescent="0.3">
      <c r="A56" s="13" t="s">
        <v>5</v>
      </c>
      <c r="B56" s="16">
        <v>400</v>
      </c>
      <c r="C56" s="16">
        <v>400</v>
      </c>
      <c r="D56" s="16">
        <v>400</v>
      </c>
      <c r="E56" s="16">
        <v>400</v>
      </c>
      <c r="F56" s="16">
        <v>400</v>
      </c>
      <c r="G56" s="16">
        <v>400</v>
      </c>
      <c r="H56" s="16">
        <v>400</v>
      </c>
      <c r="I56" s="16">
        <v>400</v>
      </c>
      <c r="J56" s="16">
        <v>400</v>
      </c>
      <c r="K56" s="16">
        <v>400</v>
      </c>
      <c r="L56" s="16">
        <v>4000</v>
      </c>
    </row>
    <row r="57" spans="1:14" x14ac:dyDescent="0.3">
      <c r="A57" s="13" t="s">
        <v>62</v>
      </c>
      <c r="B57" s="16">
        <v>400</v>
      </c>
      <c r="C57" s="16">
        <v>400</v>
      </c>
      <c r="D57" s="16">
        <v>400</v>
      </c>
      <c r="E57" s="16">
        <v>400</v>
      </c>
      <c r="F57" s="16">
        <v>400</v>
      </c>
      <c r="G57" s="16">
        <v>400</v>
      </c>
      <c r="H57" s="16">
        <v>400</v>
      </c>
      <c r="I57" s="16">
        <v>400</v>
      </c>
      <c r="J57" s="16">
        <v>400</v>
      </c>
      <c r="K57" s="16">
        <v>400</v>
      </c>
      <c r="L57" s="16">
        <v>4000</v>
      </c>
    </row>
    <row r="58" spans="1:14" x14ac:dyDescent="0.3">
      <c r="A58" s="13"/>
      <c r="B58" s="16"/>
      <c r="C58" s="16"/>
      <c r="D58" s="16"/>
      <c r="E58" s="16"/>
      <c r="F58" s="16"/>
      <c r="G58" s="16"/>
      <c r="H58" s="16"/>
      <c r="I58" s="16"/>
      <c r="J58" s="16"/>
      <c r="K58" s="16"/>
      <c r="L58" s="16"/>
      <c r="M58" s="16"/>
      <c r="N58" s="16"/>
    </row>
    <row r="59" spans="1:14" x14ac:dyDescent="0.3">
      <c r="A59" s="13" t="s">
        <v>65</v>
      </c>
      <c r="B59">
        <f>GETPIVOTDATA("Budget",$A$60,"Category","Utilities")</f>
        <v>2000</v>
      </c>
    </row>
    <row r="60" spans="1:14" x14ac:dyDescent="0.3">
      <c r="A60" s="12" t="s">
        <v>64</v>
      </c>
      <c r="B60" s="12" t="s">
        <v>63</v>
      </c>
    </row>
    <row r="61" spans="1:14" x14ac:dyDescent="0.3">
      <c r="A61" s="12" t="s">
        <v>61</v>
      </c>
      <c r="B61" t="s">
        <v>48</v>
      </c>
      <c r="C61" t="s">
        <v>49</v>
      </c>
      <c r="D61" t="s">
        <v>50</v>
      </c>
      <c r="E61" t="s">
        <v>51</v>
      </c>
      <c r="F61" t="s">
        <v>52</v>
      </c>
      <c r="G61" t="s">
        <v>54</v>
      </c>
      <c r="H61" t="s">
        <v>55</v>
      </c>
      <c r="I61" t="s">
        <v>56</v>
      </c>
      <c r="J61" t="s">
        <v>57</v>
      </c>
      <c r="K61" t="s">
        <v>58</v>
      </c>
      <c r="L61" t="s">
        <v>62</v>
      </c>
    </row>
    <row r="62" spans="1:14" x14ac:dyDescent="0.3">
      <c r="A62" s="13" t="s">
        <v>4</v>
      </c>
      <c r="B62" s="16">
        <v>200</v>
      </c>
      <c r="C62" s="16">
        <v>200</v>
      </c>
      <c r="D62" s="16">
        <v>200</v>
      </c>
      <c r="E62" s="16">
        <v>200</v>
      </c>
      <c r="F62" s="16">
        <v>200</v>
      </c>
      <c r="G62" s="16">
        <v>200</v>
      </c>
      <c r="H62" s="16">
        <v>200</v>
      </c>
      <c r="I62" s="16">
        <v>200</v>
      </c>
      <c r="J62" s="16">
        <v>200</v>
      </c>
      <c r="K62" s="16">
        <v>200</v>
      </c>
      <c r="L62" s="16">
        <v>2000</v>
      </c>
    </row>
    <row r="63" spans="1:14" x14ac:dyDescent="0.3">
      <c r="A63" s="13" t="s">
        <v>62</v>
      </c>
      <c r="B63" s="16">
        <v>200</v>
      </c>
      <c r="C63" s="16">
        <v>200</v>
      </c>
      <c r="D63" s="16">
        <v>200</v>
      </c>
      <c r="E63" s="16">
        <v>200</v>
      </c>
      <c r="F63" s="16">
        <v>200</v>
      </c>
      <c r="G63" s="16">
        <v>200</v>
      </c>
      <c r="H63" s="16">
        <v>200</v>
      </c>
      <c r="I63" s="16">
        <v>200</v>
      </c>
      <c r="J63" s="16">
        <v>200</v>
      </c>
      <c r="K63" s="16">
        <v>200</v>
      </c>
      <c r="L63" s="16">
        <v>2000</v>
      </c>
    </row>
    <row r="64" spans="1:14" x14ac:dyDescent="0.3">
      <c r="A64" s="13"/>
      <c r="B64" s="16"/>
      <c r="C64" s="16"/>
      <c r="D64" s="16"/>
      <c r="E64" s="16"/>
      <c r="F64" s="16"/>
      <c r="G64" s="16"/>
      <c r="H64" s="16"/>
      <c r="I64" s="16"/>
      <c r="J64" s="16"/>
      <c r="K64" s="16"/>
      <c r="L64" s="16"/>
      <c r="M64" s="16"/>
      <c r="N64" s="16"/>
    </row>
    <row r="65" spans="1:14" x14ac:dyDescent="0.3">
      <c r="A65" s="13" t="s">
        <v>65</v>
      </c>
      <c r="B65">
        <f>GETPIVOTDATA("Budget",$A$66,"Category","Other")</f>
        <v>3000</v>
      </c>
    </row>
    <row r="66" spans="1:14" x14ac:dyDescent="0.3">
      <c r="A66" s="12" t="s">
        <v>64</v>
      </c>
      <c r="B66" s="12" t="s">
        <v>63</v>
      </c>
    </row>
    <row r="67" spans="1:14" x14ac:dyDescent="0.3">
      <c r="A67" s="12" t="s">
        <v>61</v>
      </c>
      <c r="B67" t="s">
        <v>48</v>
      </c>
      <c r="C67" t="s">
        <v>49</v>
      </c>
      <c r="D67" t="s">
        <v>50</v>
      </c>
      <c r="E67" t="s">
        <v>51</v>
      </c>
      <c r="F67" t="s">
        <v>52</v>
      </c>
      <c r="G67" t="s">
        <v>54</v>
      </c>
      <c r="H67" t="s">
        <v>55</v>
      </c>
      <c r="I67" t="s">
        <v>56</v>
      </c>
      <c r="J67" t="s">
        <v>57</v>
      </c>
      <c r="K67" t="s">
        <v>58</v>
      </c>
      <c r="L67" t="s">
        <v>62</v>
      </c>
    </row>
    <row r="68" spans="1:14" x14ac:dyDescent="0.3">
      <c r="A68" s="13" t="s">
        <v>6</v>
      </c>
      <c r="B68" s="16">
        <v>300</v>
      </c>
      <c r="C68" s="16">
        <v>300</v>
      </c>
      <c r="D68" s="16">
        <v>300</v>
      </c>
      <c r="E68" s="16">
        <v>300</v>
      </c>
      <c r="F68" s="16">
        <v>300</v>
      </c>
      <c r="G68" s="16">
        <v>300</v>
      </c>
      <c r="H68" s="16">
        <v>300</v>
      </c>
      <c r="I68" s="16">
        <v>300</v>
      </c>
      <c r="J68" s="16">
        <v>300</v>
      </c>
      <c r="K68" s="16">
        <v>300</v>
      </c>
      <c r="L68" s="16">
        <v>3000</v>
      </c>
    </row>
    <row r="69" spans="1:14" x14ac:dyDescent="0.3">
      <c r="A69" s="13" t="s">
        <v>62</v>
      </c>
      <c r="B69" s="16">
        <v>300</v>
      </c>
      <c r="C69" s="16">
        <v>300</v>
      </c>
      <c r="D69" s="16">
        <v>300</v>
      </c>
      <c r="E69" s="16">
        <v>300</v>
      </c>
      <c r="F69" s="16">
        <v>300</v>
      </c>
      <c r="G69" s="16">
        <v>300</v>
      </c>
      <c r="H69" s="16">
        <v>300</v>
      </c>
      <c r="I69" s="16">
        <v>300</v>
      </c>
      <c r="J69" s="16">
        <v>300</v>
      </c>
      <c r="K69" s="16">
        <v>300</v>
      </c>
      <c r="L69" s="16">
        <v>3000</v>
      </c>
    </row>
    <row r="70" spans="1:14" x14ac:dyDescent="0.3">
      <c r="A70" s="13"/>
      <c r="B70" s="16"/>
      <c r="C70" s="16"/>
    </row>
    <row r="71" spans="1:14" ht="18" x14ac:dyDescent="0.35">
      <c r="A71" s="20" t="s">
        <v>72</v>
      </c>
      <c r="B71" s="16"/>
      <c r="C71" s="16"/>
    </row>
    <row r="72" spans="1:14" x14ac:dyDescent="0.3">
      <c r="A72" s="13"/>
      <c r="B72" s="16"/>
      <c r="C72" s="16"/>
      <c r="D72" s="16"/>
      <c r="E72" s="16"/>
      <c r="F72" s="16"/>
      <c r="G72" s="16"/>
      <c r="H72" s="16"/>
      <c r="I72" s="16"/>
      <c r="J72" s="16"/>
      <c r="K72" s="16"/>
      <c r="L72" s="16"/>
      <c r="M72" s="16"/>
      <c r="N72" s="16"/>
    </row>
    <row r="73" spans="1:14" x14ac:dyDescent="0.3">
      <c r="A73" s="12" t="s">
        <v>13</v>
      </c>
      <c r="B73" t="s">
        <v>17</v>
      </c>
    </row>
    <row r="75" spans="1:14" x14ac:dyDescent="0.3">
      <c r="A75" s="12" t="s">
        <v>60</v>
      </c>
      <c r="B75" s="12" t="s">
        <v>63</v>
      </c>
    </row>
    <row r="76" spans="1:14" x14ac:dyDescent="0.3">
      <c r="A76" s="12" t="s">
        <v>61</v>
      </c>
      <c r="B76" t="s">
        <v>47</v>
      </c>
      <c r="C76" t="s">
        <v>48</v>
      </c>
      <c r="D76" t="s">
        <v>62</v>
      </c>
    </row>
    <row r="77" spans="1:14" x14ac:dyDescent="0.3">
      <c r="A77" s="13" t="s">
        <v>20</v>
      </c>
      <c r="B77" s="14">
        <v>449</v>
      </c>
      <c r="C77" s="14">
        <v>305</v>
      </c>
      <c r="D77" s="14">
        <v>754</v>
      </c>
    </row>
    <row r="78" spans="1:14" x14ac:dyDescent="0.3">
      <c r="A78" s="13" t="s">
        <v>5</v>
      </c>
      <c r="B78" s="14">
        <v>562</v>
      </c>
      <c r="C78" s="14">
        <v>194</v>
      </c>
      <c r="D78" s="14">
        <v>756</v>
      </c>
    </row>
    <row r="79" spans="1:14" x14ac:dyDescent="0.3">
      <c r="A79" s="13" t="s">
        <v>6</v>
      </c>
      <c r="B79" s="14">
        <v>249</v>
      </c>
      <c r="C79" s="14">
        <v>18</v>
      </c>
      <c r="D79" s="14">
        <v>267</v>
      </c>
    </row>
    <row r="80" spans="1:14" x14ac:dyDescent="0.3">
      <c r="A80" s="13" t="s">
        <v>1</v>
      </c>
      <c r="B80" s="14">
        <v>850</v>
      </c>
      <c r="C80" s="14">
        <v>850</v>
      </c>
      <c r="D80" s="14">
        <v>1700</v>
      </c>
    </row>
    <row r="81" spans="1:4" x14ac:dyDescent="0.3">
      <c r="A81" s="13" t="s">
        <v>2</v>
      </c>
      <c r="B81" s="14">
        <v>55</v>
      </c>
      <c r="C81" s="14">
        <v>55</v>
      </c>
      <c r="D81" s="14">
        <v>110</v>
      </c>
    </row>
    <row r="82" spans="1:4" x14ac:dyDescent="0.3">
      <c r="A82" s="13" t="s">
        <v>4</v>
      </c>
      <c r="B82" s="14">
        <v>140</v>
      </c>
      <c r="C82" s="14">
        <v>105</v>
      </c>
      <c r="D82" s="14">
        <v>245</v>
      </c>
    </row>
    <row r="83" spans="1:4" x14ac:dyDescent="0.3">
      <c r="A83" s="13" t="s">
        <v>62</v>
      </c>
      <c r="B83" s="14">
        <v>2305</v>
      </c>
      <c r="C83" s="14">
        <v>1527</v>
      </c>
      <c r="D83" s="14">
        <v>3832</v>
      </c>
    </row>
    <row r="85" spans="1:4" x14ac:dyDescent="0.3">
      <c r="A85" t="str">
        <f>A77</f>
        <v>Groceries</v>
      </c>
      <c r="B85">
        <f>GETPIVOTDATA("Amount",$A$75,"Category","Groceries")</f>
        <v>754</v>
      </c>
    </row>
    <row r="86" spans="1:4" x14ac:dyDescent="0.3">
      <c r="A86" t="str">
        <f t="shared" ref="A86:A90" si="0">A78</f>
        <v>Leisure</v>
      </c>
      <c r="B86">
        <f>GETPIVOTDATA("Amount",$A$75,"Category","Leisure")</f>
        <v>756</v>
      </c>
    </row>
    <row r="87" spans="1:4" x14ac:dyDescent="0.3">
      <c r="A87" t="str">
        <f t="shared" si="0"/>
        <v>Other</v>
      </c>
      <c r="B87">
        <f>GETPIVOTDATA("Amount",$A$75,"Category","Other")</f>
        <v>267</v>
      </c>
    </row>
    <row r="88" spans="1:4" x14ac:dyDescent="0.3">
      <c r="A88" t="str">
        <f t="shared" si="0"/>
        <v>Rent</v>
      </c>
      <c r="B88">
        <f>GETPIVOTDATA("Amount",$A$75,"Category","Rent")</f>
        <v>1700</v>
      </c>
    </row>
    <row r="89" spans="1:4" x14ac:dyDescent="0.3">
      <c r="A89" t="str">
        <f t="shared" si="0"/>
        <v>Transport</v>
      </c>
      <c r="B89">
        <f>GETPIVOTDATA("Amount",$A$75,"Category","Transport")</f>
        <v>110</v>
      </c>
    </row>
    <row r="90" spans="1:4" x14ac:dyDescent="0.3">
      <c r="A90" t="str">
        <f t="shared" si="0"/>
        <v>Utilities</v>
      </c>
      <c r="B90">
        <f>GETPIVOTDATA("Amount",$A$75,"Category","Utilities")</f>
        <v>245</v>
      </c>
    </row>
    <row r="94" spans="1:4" x14ac:dyDescent="0.3">
      <c r="A94" s="12" t="s">
        <v>60</v>
      </c>
      <c r="B94" s="12" t="s">
        <v>63</v>
      </c>
    </row>
    <row r="95" spans="1:4" x14ac:dyDescent="0.3">
      <c r="A95" s="12" t="s">
        <v>61</v>
      </c>
      <c r="B95" t="s">
        <v>47</v>
      </c>
      <c r="C95" t="s">
        <v>48</v>
      </c>
      <c r="D95" t="s">
        <v>62</v>
      </c>
    </row>
    <row r="96" spans="1:4" x14ac:dyDescent="0.3">
      <c r="A96" s="13" t="s">
        <v>17</v>
      </c>
      <c r="B96" s="14">
        <v>2305</v>
      </c>
      <c r="C96" s="14">
        <v>1527</v>
      </c>
      <c r="D96" s="14">
        <v>3832</v>
      </c>
    </row>
    <row r="97" spans="1:12" x14ac:dyDescent="0.3">
      <c r="A97" s="13" t="s">
        <v>26</v>
      </c>
      <c r="B97" s="14">
        <v>3642</v>
      </c>
      <c r="C97" s="14">
        <v>3533</v>
      </c>
      <c r="D97" s="14">
        <v>7175</v>
      </c>
    </row>
    <row r="98" spans="1:12" x14ac:dyDescent="0.3">
      <c r="A98" s="13" t="s">
        <v>62</v>
      </c>
      <c r="B98" s="14">
        <v>5947</v>
      </c>
      <c r="C98" s="14">
        <v>5060</v>
      </c>
      <c r="D98" s="14">
        <v>11007</v>
      </c>
    </row>
    <row r="100" spans="1:12" x14ac:dyDescent="0.3">
      <c r="A100" t="str">
        <f>A96</f>
        <v>Expense</v>
      </c>
      <c r="B100">
        <f>GETPIVOTDATA("Amount",$A$94,"Income / Expense","Expense")</f>
        <v>3832</v>
      </c>
    </row>
    <row r="101" spans="1:12" x14ac:dyDescent="0.3">
      <c r="A101" t="str">
        <f>A97</f>
        <v>Income</v>
      </c>
      <c r="B101">
        <f>GETPIVOTDATA("Amount",$A$94,"Income / Expense","Income")</f>
        <v>7175</v>
      </c>
    </row>
    <row r="104" spans="1:12" x14ac:dyDescent="0.3">
      <c r="A104" t="s">
        <v>66</v>
      </c>
      <c r="B104">
        <f>Dashboard!B11</f>
        <v>3000</v>
      </c>
    </row>
    <row r="105" spans="1:12" x14ac:dyDescent="0.3">
      <c r="A105" t="s">
        <v>67</v>
      </c>
      <c r="B105">
        <f>B101-B100</f>
        <v>3343</v>
      </c>
    </row>
    <row r="106" spans="1:12" x14ac:dyDescent="0.3">
      <c r="A106" t="s">
        <v>68</v>
      </c>
      <c r="B106">
        <f>B104+B105</f>
        <v>6343</v>
      </c>
    </row>
    <row r="108" spans="1:12" x14ac:dyDescent="0.3">
      <c r="A108" s="18" t="s">
        <v>69</v>
      </c>
      <c r="B108">
        <f>GETPIVOTDATA("Amount",$A$94,"Income / Expense","Expense")</f>
        <v>3832</v>
      </c>
    </row>
    <row r="109" spans="1:12" x14ac:dyDescent="0.3">
      <c r="A109" s="18" t="s">
        <v>70</v>
      </c>
      <c r="B109">
        <f>GETPIVOTDATA("Amount",$A$94,"Income / Expense","Income")</f>
        <v>7175</v>
      </c>
    </row>
    <row r="111" spans="1:12" x14ac:dyDescent="0.3">
      <c r="A111" s="12" t="s">
        <v>64</v>
      </c>
      <c r="B111" s="12" t="s">
        <v>63</v>
      </c>
    </row>
    <row r="112" spans="1:12" x14ac:dyDescent="0.3">
      <c r="A112" s="12" t="s">
        <v>61</v>
      </c>
      <c r="B112" t="s">
        <v>48</v>
      </c>
      <c r="C112" t="s">
        <v>49</v>
      </c>
      <c r="D112" t="s">
        <v>50</v>
      </c>
      <c r="E112" t="s">
        <v>51</v>
      </c>
      <c r="F112" t="s">
        <v>52</v>
      </c>
      <c r="G112" t="s">
        <v>54</v>
      </c>
      <c r="H112" t="s">
        <v>55</v>
      </c>
      <c r="I112" t="s">
        <v>56</v>
      </c>
      <c r="J112" t="s">
        <v>57</v>
      </c>
      <c r="K112" t="s">
        <v>58</v>
      </c>
      <c r="L112" t="s">
        <v>62</v>
      </c>
    </row>
    <row r="113" spans="1:12" x14ac:dyDescent="0.3">
      <c r="A113" s="13" t="s">
        <v>17</v>
      </c>
      <c r="B113" s="16">
        <v>2375</v>
      </c>
      <c r="C113" s="16">
        <v>2375</v>
      </c>
      <c r="D113" s="16">
        <v>2375</v>
      </c>
      <c r="E113" s="16">
        <v>2375</v>
      </c>
      <c r="F113" s="16">
        <v>2375</v>
      </c>
      <c r="G113" s="16">
        <v>2375</v>
      </c>
      <c r="H113" s="16">
        <v>2375</v>
      </c>
      <c r="I113" s="16">
        <v>2375</v>
      </c>
      <c r="J113" s="16">
        <v>2375</v>
      </c>
      <c r="K113" s="16">
        <v>2375</v>
      </c>
      <c r="L113" s="16">
        <v>23750</v>
      </c>
    </row>
    <row r="114" spans="1:12" x14ac:dyDescent="0.3">
      <c r="A114" s="13" t="s">
        <v>26</v>
      </c>
      <c r="B114" s="16">
        <v>2800</v>
      </c>
      <c r="C114" s="16">
        <v>2800</v>
      </c>
      <c r="D114" s="16">
        <v>2800</v>
      </c>
      <c r="E114" s="16">
        <v>2800</v>
      </c>
      <c r="F114" s="16">
        <v>2800</v>
      </c>
      <c r="G114" s="16">
        <v>2800</v>
      </c>
      <c r="H114" s="16">
        <v>2800</v>
      </c>
      <c r="I114" s="16">
        <v>2800</v>
      </c>
      <c r="J114" s="16">
        <v>2800</v>
      </c>
      <c r="K114" s="16">
        <v>2800</v>
      </c>
      <c r="L114" s="16">
        <v>28000</v>
      </c>
    </row>
    <row r="115" spans="1:12" x14ac:dyDescent="0.3">
      <c r="A115" s="13" t="s">
        <v>62</v>
      </c>
      <c r="B115" s="16">
        <v>5175</v>
      </c>
      <c r="C115" s="16">
        <v>5175</v>
      </c>
      <c r="D115" s="16">
        <v>5175</v>
      </c>
      <c r="E115" s="16">
        <v>5175</v>
      </c>
      <c r="F115" s="16">
        <v>5175</v>
      </c>
      <c r="G115" s="16">
        <v>5175</v>
      </c>
      <c r="H115" s="16">
        <v>5175</v>
      </c>
      <c r="I115" s="16">
        <v>5175</v>
      </c>
      <c r="J115" s="16">
        <v>5175</v>
      </c>
      <c r="K115" s="16">
        <v>5175</v>
      </c>
      <c r="L115" s="16">
        <v>51750</v>
      </c>
    </row>
    <row r="117" spans="1:12" x14ac:dyDescent="0.3">
      <c r="A117" s="13" t="s">
        <v>73</v>
      </c>
      <c r="B117">
        <f>GETPIVOTDATA("Budget",$A$111,"Income/Expense","Expense")</f>
        <v>23750</v>
      </c>
    </row>
    <row r="118" spans="1:12" x14ac:dyDescent="0.3">
      <c r="A118" s="13" t="s">
        <v>74</v>
      </c>
      <c r="B118">
        <f>GETPIVOTDATA("Budget",$A$111,"Income/Expense","Income")</f>
        <v>28000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K60"/>
  <sheetViews>
    <sheetView showGridLines="0" workbookViewId="0">
      <selection activeCell="D17" sqref="D17"/>
    </sheetView>
  </sheetViews>
  <sheetFormatPr defaultColWidth="11.19921875" defaultRowHeight="15" customHeight="1" x14ac:dyDescent="0.3"/>
  <cols>
    <col min="1" max="3" width="10.59765625" customWidth="1"/>
    <col min="4" max="4" width="13" customWidth="1"/>
    <col min="5" max="5" width="34.3984375" customWidth="1"/>
    <col min="6" max="6" width="17.3984375" customWidth="1"/>
    <col min="7" max="26" width="10.59765625" customWidth="1"/>
  </cols>
  <sheetData>
    <row r="2" spans="2:11" ht="15" customHeight="1" x14ac:dyDescent="0.4">
      <c r="B2" s="2" t="s">
        <v>8</v>
      </c>
      <c r="C2" s="2"/>
      <c r="D2" s="2"/>
      <c r="E2" s="2"/>
      <c r="F2" s="2"/>
      <c r="G2" s="2"/>
    </row>
    <row r="4" spans="2:11" ht="15.6" x14ac:dyDescent="0.3">
      <c r="B4" s="3" t="s">
        <v>9</v>
      </c>
      <c r="C4" s="3" t="s">
        <v>10</v>
      </c>
      <c r="D4" s="3" t="s">
        <v>11</v>
      </c>
      <c r="E4" s="3" t="s">
        <v>12</v>
      </c>
      <c r="F4" s="3" t="s">
        <v>13</v>
      </c>
      <c r="G4" s="3" t="s">
        <v>14</v>
      </c>
      <c r="J4" s="3" t="s">
        <v>11</v>
      </c>
      <c r="K4" s="3" t="s">
        <v>15</v>
      </c>
    </row>
    <row r="5" spans="2:11" ht="15.6" x14ac:dyDescent="0.3">
      <c r="B5" s="4">
        <v>44562</v>
      </c>
      <c r="C5" s="1" t="str">
        <f>TEXT(Actuals!$B5,"MMMM")</f>
        <v>January</v>
      </c>
      <c r="D5" s="1" t="s">
        <v>1</v>
      </c>
      <c r="E5" s="1" t="s">
        <v>16</v>
      </c>
      <c r="F5" s="1" t="str">
        <f>_xlfn.XLOOKUP(Actuals!$D5,$J$5:$J$13,$K$5:$K$13)</f>
        <v>Expense</v>
      </c>
      <c r="G5" s="5">
        <v>850</v>
      </c>
      <c r="J5" s="1" t="s">
        <v>1</v>
      </c>
      <c r="K5" s="1" t="s">
        <v>17</v>
      </c>
    </row>
    <row r="6" spans="2:11" ht="15.6" x14ac:dyDescent="0.3">
      <c r="B6" s="4">
        <v>44562</v>
      </c>
      <c r="C6" s="1" t="str">
        <f>TEXT(Actuals!$B6,"MMMM")</f>
        <v>January</v>
      </c>
      <c r="D6" s="1" t="s">
        <v>4</v>
      </c>
      <c r="E6" s="1" t="s">
        <v>18</v>
      </c>
      <c r="F6" s="1" t="str">
        <f>_xlfn.XLOOKUP(Actuals!$D6,$J$5:$J$13,$K$5:$K$13)</f>
        <v>Expense</v>
      </c>
      <c r="G6" s="5">
        <v>140</v>
      </c>
      <c r="J6" s="1" t="s">
        <v>4</v>
      </c>
      <c r="K6" s="1" t="s">
        <v>17</v>
      </c>
    </row>
    <row r="7" spans="2:11" ht="15.6" x14ac:dyDescent="0.3">
      <c r="B7" s="4">
        <v>44562</v>
      </c>
      <c r="C7" s="1" t="str">
        <f>TEXT(Actuals!$B7,"MMMM")</f>
        <v>January</v>
      </c>
      <c r="D7" s="1" t="s">
        <v>2</v>
      </c>
      <c r="E7" s="1" t="s">
        <v>19</v>
      </c>
      <c r="F7" s="1" t="str">
        <f>_xlfn.XLOOKUP(Actuals!$D7,$J$5:$J$13,$K$5:$K$13)</f>
        <v>Expense</v>
      </c>
      <c r="G7" s="5">
        <v>55</v>
      </c>
      <c r="J7" s="1" t="s">
        <v>2</v>
      </c>
      <c r="K7" s="1" t="s">
        <v>17</v>
      </c>
    </row>
    <row r="8" spans="2:11" ht="15.6" x14ac:dyDescent="0.3">
      <c r="B8" s="4">
        <v>44569</v>
      </c>
      <c r="C8" s="1" t="str">
        <f>TEXT(Actuals!$B8,"MMMM")</f>
        <v>January</v>
      </c>
      <c r="D8" s="1" t="s">
        <v>20</v>
      </c>
      <c r="E8" s="1" t="s">
        <v>21</v>
      </c>
      <c r="F8" s="1" t="str">
        <f>_xlfn.XLOOKUP(Actuals!$D8,$J$5:$J$13,$K$5:$K$13)</f>
        <v>Expense</v>
      </c>
      <c r="G8" s="5">
        <v>449</v>
      </c>
      <c r="J8" s="1" t="s">
        <v>20</v>
      </c>
      <c r="K8" s="1" t="s">
        <v>17</v>
      </c>
    </row>
    <row r="9" spans="2:11" ht="15.6" x14ac:dyDescent="0.3">
      <c r="B9" s="4">
        <v>44572</v>
      </c>
      <c r="C9" s="1" t="str">
        <f>TEXT(Actuals!$B9,"MMMM")</f>
        <v>January</v>
      </c>
      <c r="D9" s="1" t="s">
        <v>5</v>
      </c>
      <c r="E9" s="1" t="s">
        <v>22</v>
      </c>
      <c r="F9" s="1" t="str">
        <f>_xlfn.XLOOKUP(Actuals!$D9,$J$5:$J$13,$K$5:$K$13)</f>
        <v>Expense</v>
      </c>
      <c r="G9" s="5">
        <v>245</v>
      </c>
      <c r="J9" s="1" t="s">
        <v>5</v>
      </c>
      <c r="K9" s="1" t="s">
        <v>17</v>
      </c>
    </row>
    <row r="10" spans="2:11" ht="15.6" x14ac:dyDescent="0.3">
      <c r="B10" s="4">
        <v>44573</v>
      </c>
      <c r="C10" s="1" t="str">
        <f>TEXT(Actuals!$B10,"MMMM")</f>
        <v>January</v>
      </c>
      <c r="D10" s="1" t="s">
        <v>5</v>
      </c>
      <c r="E10" s="1" t="s">
        <v>23</v>
      </c>
      <c r="F10" s="1" t="str">
        <f>_xlfn.XLOOKUP(Actuals!$D10,$J$5:$J$13,$K$5:$K$13)</f>
        <v>Expense</v>
      </c>
      <c r="G10" s="5">
        <v>168</v>
      </c>
      <c r="J10" s="1" t="s">
        <v>6</v>
      </c>
      <c r="K10" s="1" t="s">
        <v>17</v>
      </c>
    </row>
    <row r="11" spans="2:11" ht="15.6" x14ac:dyDescent="0.3">
      <c r="B11" s="4">
        <v>44573</v>
      </c>
      <c r="C11" s="1" t="str">
        <f>TEXT(Actuals!$B11,"MMMM")</f>
        <v>January</v>
      </c>
      <c r="D11" s="1" t="s">
        <v>5</v>
      </c>
      <c r="E11" s="1" t="s">
        <v>24</v>
      </c>
      <c r="F11" s="1" t="str">
        <f>_xlfn.XLOOKUP(Actuals!$D11,$J$5:$J$13,$K$5:$K$13)</f>
        <v>Expense</v>
      </c>
      <c r="G11" s="5">
        <v>149</v>
      </c>
      <c r="J11" s="1" t="s">
        <v>25</v>
      </c>
      <c r="K11" s="1" t="s">
        <v>26</v>
      </c>
    </row>
    <row r="12" spans="2:11" ht="15.6" x14ac:dyDescent="0.3">
      <c r="B12" s="4">
        <v>44575</v>
      </c>
      <c r="C12" s="1" t="str">
        <f>TEXT(Actuals!$B12,"MMMM")</f>
        <v>January</v>
      </c>
      <c r="D12" s="1" t="s">
        <v>6</v>
      </c>
      <c r="E12" s="1" t="s">
        <v>27</v>
      </c>
      <c r="F12" s="1" t="str">
        <f>_xlfn.XLOOKUP(Actuals!$D12,$J$5:$J$13,$K$5:$K$13)</f>
        <v>Expense</v>
      </c>
      <c r="G12" s="5">
        <v>249</v>
      </c>
      <c r="J12" s="1" t="s">
        <v>28</v>
      </c>
      <c r="K12" s="1" t="s">
        <v>26</v>
      </c>
    </row>
    <row r="13" spans="2:11" ht="15.6" x14ac:dyDescent="0.3">
      <c r="B13" s="4">
        <v>44592</v>
      </c>
      <c r="C13" s="1" t="str">
        <f>TEXT(Actuals!$B13,"MMMM")</f>
        <v>January</v>
      </c>
      <c r="D13" s="1" t="s">
        <v>25</v>
      </c>
      <c r="E13" s="1" t="s">
        <v>29</v>
      </c>
      <c r="F13" s="1" t="str">
        <f>_xlfn.XLOOKUP(Actuals!$D13,$J$5:$J$13,$K$5:$K$13)</f>
        <v>Income</v>
      </c>
      <c r="G13" s="5">
        <v>458</v>
      </c>
      <c r="J13" s="1" t="s">
        <v>30</v>
      </c>
      <c r="K13" s="1" t="s">
        <v>26</v>
      </c>
    </row>
    <row r="14" spans="2:11" ht="15.6" x14ac:dyDescent="0.3">
      <c r="B14" s="4">
        <v>44592</v>
      </c>
      <c r="C14" s="1" t="str">
        <f>TEXT(Actuals!$B14,"MMMM")</f>
        <v>January</v>
      </c>
      <c r="D14" s="1" t="s">
        <v>28</v>
      </c>
      <c r="E14" s="1" t="s">
        <v>31</v>
      </c>
      <c r="F14" s="1" t="str">
        <f>_xlfn.XLOOKUP(Actuals!$D14,$J$5:$J$13,$K$5:$K$13)</f>
        <v>Income</v>
      </c>
      <c r="G14" s="5">
        <v>3000</v>
      </c>
    </row>
    <row r="15" spans="2:11" ht="15.6" x14ac:dyDescent="0.3">
      <c r="B15" s="4">
        <v>44592</v>
      </c>
      <c r="C15" s="1" t="str">
        <f>TEXT(Actuals!$B15,"MMMM")</f>
        <v>January</v>
      </c>
      <c r="D15" s="1" t="s">
        <v>30</v>
      </c>
      <c r="E15" s="1" t="s">
        <v>32</v>
      </c>
      <c r="F15" s="1" t="str">
        <f>_xlfn.XLOOKUP(Actuals!$D15,$J$5:$J$13,$K$5:$K$13)</f>
        <v>Income</v>
      </c>
      <c r="G15" s="5">
        <v>184</v>
      </c>
      <c r="J15" s="6"/>
      <c r="K15" s="6"/>
    </row>
    <row r="16" spans="2:11" ht="15.6" x14ac:dyDescent="0.3">
      <c r="B16" s="4">
        <v>44593</v>
      </c>
      <c r="C16" s="1" t="str">
        <f>TEXT(Actuals!$B16,"MMMM")</f>
        <v>February</v>
      </c>
      <c r="D16" s="1" t="s">
        <v>1</v>
      </c>
      <c r="E16" s="1" t="s">
        <v>16</v>
      </c>
      <c r="F16" s="1" t="str">
        <f>_xlfn.XLOOKUP(Actuals!$D16,$J$5:$J$13,$K$5:$K$13)</f>
        <v>Expense</v>
      </c>
      <c r="G16" s="5">
        <v>850</v>
      </c>
    </row>
    <row r="17" spans="2:7" ht="15.6" x14ac:dyDescent="0.3">
      <c r="B17" s="4">
        <v>44593</v>
      </c>
      <c r="C17" s="1" t="str">
        <f>TEXT(Actuals!$B17,"MMMM")</f>
        <v>February</v>
      </c>
      <c r="D17" s="1" t="s">
        <v>4</v>
      </c>
      <c r="E17" s="1" t="s">
        <v>33</v>
      </c>
      <c r="F17" s="1" t="str">
        <f>_xlfn.XLOOKUP(Actuals!$D17,$J$5:$J$13,$K$5:$K$13)</f>
        <v>Expense</v>
      </c>
      <c r="G17" s="5">
        <v>105</v>
      </c>
    </row>
    <row r="18" spans="2:7" ht="15.6" x14ac:dyDescent="0.3">
      <c r="B18" s="4">
        <v>44593</v>
      </c>
      <c r="C18" s="1" t="str">
        <f>TEXT(Actuals!$B18,"MMMM")</f>
        <v>February</v>
      </c>
      <c r="D18" s="1" t="s">
        <v>2</v>
      </c>
      <c r="E18" s="1" t="s">
        <v>19</v>
      </c>
      <c r="F18" s="1" t="str">
        <f>_xlfn.XLOOKUP(Actuals!$D18,$J$5:$J$13,$K$5:$K$13)</f>
        <v>Expense</v>
      </c>
      <c r="G18" s="5">
        <v>55</v>
      </c>
    </row>
    <row r="19" spans="2:7" ht="15.6" x14ac:dyDescent="0.3">
      <c r="B19" s="4">
        <v>44600</v>
      </c>
      <c r="C19" s="1" t="str">
        <f>TEXT(Actuals!$B19,"MMMM")</f>
        <v>February</v>
      </c>
      <c r="D19" s="1" t="s">
        <v>20</v>
      </c>
      <c r="E19" s="1" t="s">
        <v>21</v>
      </c>
      <c r="F19" s="1" t="str">
        <f>_xlfn.XLOOKUP(Actuals!$D19,$J$5:$J$13,$K$5:$K$13)</f>
        <v>Expense</v>
      </c>
      <c r="G19" s="5">
        <v>305</v>
      </c>
    </row>
    <row r="20" spans="2:7" ht="15.6" x14ac:dyDescent="0.3">
      <c r="B20" s="4">
        <v>44603</v>
      </c>
      <c r="C20" s="1" t="str">
        <f>TEXT(Actuals!$B20,"MMMM")</f>
        <v>February</v>
      </c>
      <c r="D20" s="1" t="s">
        <v>5</v>
      </c>
      <c r="E20" s="1" t="s">
        <v>34</v>
      </c>
      <c r="F20" s="1" t="str">
        <f>_xlfn.XLOOKUP(Actuals!$D20,$J$5:$J$13,$K$5:$K$13)</f>
        <v>Expense</v>
      </c>
      <c r="G20" s="5">
        <v>28</v>
      </c>
    </row>
    <row r="21" spans="2:7" ht="15.6" x14ac:dyDescent="0.3">
      <c r="B21" s="4">
        <v>44604</v>
      </c>
      <c r="C21" s="1" t="str">
        <f>TEXT(Actuals!$B21,"MMMM")</f>
        <v>February</v>
      </c>
      <c r="D21" s="1" t="s">
        <v>5</v>
      </c>
      <c r="E21" s="1" t="s">
        <v>35</v>
      </c>
      <c r="F21" s="1" t="str">
        <f>_xlfn.XLOOKUP(Actuals!$D21,$J$5:$J$13,$K$5:$K$13)</f>
        <v>Expense</v>
      </c>
      <c r="G21" s="5">
        <v>99</v>
      </c>
    </row>
    <row r="22" spans="2:7" ht="15.6" x14ac:dyDescent="0.3">
      <c r="B22" s="4">
        <v>44604</v>
      </c>
      <c r="C22" s="1" t="str">
        <f>TEXT(Actuals!$B22,"MMMM")</f>
        <v>February</v>
      </c>
      <c r="D22" s="1" t="s">
        <v>5</v>
      </c>
      <c r="E22" s="1" t="s">
        <v>36</v>
      </c>
      <c r="F22" s="1" t="str">
        <f>_xlfn.XLOOKUP(Actuals!$D22,$J$5:$J$13,$K$5:$K$13)</f>
        <v>Expense</v>
      </c>
      <c r="G22" s="5">
        <v>67</v>
      </c>
    </row>
    <row r="23" spans="2:7" ht="15.6" x14ac:dyDescent="0.3">
      <c r="B23" s="4">
        <v>44606</v>
      </c>
      <c r="C23" s="1" t="str">
        <f>TEXT(Actuals!$B23,"MMMM")</f>
        <v>February</v>
      </c>
      <c r="D23" s="1" t="s">
        <v>6</v>
      </c>
      <c r="E23" s="1" t="s">
        <v>37</v>
      </c>
      <c r="F23" s="1" t="str">
        <f>_xlfn.XLOOKUP(Actuals!$D23,$J$5:$J$13,$K$5:$K$13)</f>
        <v>Expense</v>
      </c>
      <c r="G23" s="5">
        <v>18</v>
      </c>
    </row>
    <row r="24" spans="2:7" ht="15.6" x14ac:dyDescent="0.3">
      <c r="B24" s="4">
        <v>44620</v>
      </c>
      <c r="C24" s="1" t="str">
        <f>TEXT(Actuals!$B24,"MMMM")</f>
        <v>February</v>
      </c>
      <c r="D24" s="1" t="s">
        <v>25</v>
      </c>
      <c r="E24" s="1" t="s">
        <v>29</v>
      </c>
      <c r="F24" s="1" t="str">
        <f>_xlfn.XLOOKUP(Actuals!$D24,$J$5:$J$13,$K$5:$K$13)</f>
        <v>Income</v>
      </c>
      <c r="G24" s="5">
        <v>305</v>
      </c>
    </row>
    <row r="25" spans="2:7" ht="15.6" x14ac:dyDescent="0.3">
      <c r="B25" s="4">
        <v>44620</v>
      </c>
      <c r="C25" s="1" t="str">
        <f>TEXT(Actuals!$B25,"MMMM")</f>
        <v>February</v>
      </c>
      <c r="D25" s="1" t="s">
        <v>28</v>
      </c>
      <c r="E25" s="1" t="s">
        <v>31</v>
      </c>
      <c r="F25" s="1" t="str">
        <f>_xlfn.XLOOKUP(Actuals!$D25,$J$5:$J$13,$K$5:$K$13)</f>
        <v>Income</v>
      </c>
      <c r="G25" s="5">
        <v>3000</v>
      </c>
    </row>
    <row r="26" spans="2:7" ht="15.6" x14ac:dyDescent="0.3">
      <c r="B26" s="4">
        <v>44620</v>
      </c>
      <c r="C26" s="1" t="str">
        <f>TEXT(Actuals!$B26,"MMMM")</f>
        <v>February</v>
      </c>
      <c r="D26" s="1" t="s">
        <v>30</v>
      </c>
      <c r="E26" s="1" t="s">
        <v>32</v>
      </c>
      <c r="F26" s="1" t="str">
        <f>_xlfn.XLOOKUP(Actuals!$D26,$J$5:$J$13,$K$5:$K$13)</f>
        <v>Income</v>
      </c>
      <c r="G26" s="5">
        <v>228</v>
      </c>
    </row>
    <row r="27" spans="2:7" ht="15.6" x14ac:dyDescent="0.3">
      <c r="B27" s="4">
        <v>44621</v>
      </c>
      <c r="C27" s="1" t="str">
        <f>TEXT(Actuals!$B27,"MMMM")</f>
        <v>March</v>
      </c>
      <c r="D27" s="1" t="s">
        <v>1</v>
      </c>
      <c r="E27" s="1" t="s">
        <v>16</v>
      </c>
      <c r="F27" s="1" t="str">
        <f>_xlfn.XLOOKUP(Actuals!$D27,$J$5:$J$13,$K$5:$K$13)</f>
        <v>Expense</v>
      </c>
      <c r="G27" s="5">
        <v>850</v>
      </c>
    </row>
    <row r="28" spans="2:7" ht="15.6" x14ac:dyDescent="0.3">
      <c r="B28" s="4">
        <v>44621</v>
      </c>
      <c r="C28" s="1" t="str">
        <f>TEXT(Actuals!$B28,"MMMM")</f>
        <v>March</v>
      </c>
      <c r="D28" s="1" t="s">
        <v>4</v>
      </c>
      <c r="E28" s="1" t="s">
        <v>33</v>
      </c>
      <c r="F28" s="1" t="str">
        <f>_xlfn.XLOOKUP(Actuals!$D28,$J$5:$J$13,$K$5:$K$13)</f>
        <v>Expense</v>
      </c>
      <c r="G28" s="5">
        <v>110</v>
      </c>
    </row>
    <row r="29" spans="2:7" ht="15.6" x14ac:dyDescent="0.3">
      <c r="B29" s="4">
        <v>44621</v>
      </c>
      <c r="C29" s="1" t="str">
        <f>TEXT(Actuals!$B29,"MMMM")</f>
        <v>March</v>
      </c>
      <c r="D29" s="1" t="s">
        <v>2</v>
      </c>
      <c r="E29" s="1" t="s">
        <v>19</v>
      </c>
      <c r="F29" s="1" t="str">
        <f>_xlfn.XLOOKUP(Actuals!$D29,$J$5:$J$13,$K$5:$K$13)</f>
        <v>Expense</v>
      </c>
      <c r="G29" s="5">
        <v>55</v>
      </c>
    </row>
    <row r="30" spans="2:7" ht="15.6" x14ac:dyDescent="0.3">
      <c r="B30" s="4">
        <v>44628</v>
      </c>
      <c r="C30" s="1" t="str">
        <f>TEXT(Actuals!$B30,"MMMM")</f>
        <v>March</v>
      </c>
      <c r="D30" s="1" t="s">
        <v>20</v>
      </c>
      <c r="E30" s="1" t="s">
        <v>21</v>
      </c>
      <c r="F30" s="1" t="str">
        <f>_xlfn.XLOOKUP(Actuals!$D30,$J$5:$J$13,$K$5:$K$13)</f>
        <v>Expense</v>
      </c>
      <c r="G30" s="5">
        <v>208</v>
      </c>
    </row>
    <row r="31" spans="2:7" ht="15.6" x14ac:dyDescent="0.3">
      <c r="B31" s="4">
        <v>44631</v>
      </c>
      <c r="C31" s="1" t="str">
        <f>TEXT(Actuals!$B31,"MMMM")</f>
        <v>March</v>
      </c>
      <c r="D31" s="1" t="s">
        <v>5</v>
      </c>
      <c r="E31" s="1" t="s">
        <v>38</v>
      </c>
      <c r="F31" s="1" t="str">
        <f>_xlfn.XLOOKUP(Actuals!$D31,$J$5:$J$13,$K$5:$K$13)</f>
        <v>Expense</v>
      </c>
      <c r="G31" s="5">
        <v>188</v>
      </c>
    </row>
    <row r="32" spans="2:7" ht="15.6" x14ac:dyDescent="0.3">
      <c r="B32" s="4">
        <v>44632</v>
      </c>
      <c r="C32" s="1" t="str">
        <f>TEXT(Actuals!$B32,"MMMM")</f>
        <v>March</v>
      </c>
      <c r="D32" s="1" t="s">
        <v>5</v>
      </c>
      <c r="E32" s="1" t="s">
        <v>39</v>
      </c>
      <c r="F32" s="1" t="str">
        <f>_xlfn.XLOOKUP(Actuals!$D32,$J$5:$J$13,$K$5:$K$13)</f>
        <v>Expense</v>
      </c>
      <c r="G32" s="5">
        <v>168</v>
      </c>
    </row>
    <row r="33" spans="2:7" ht="15.6" x14ac:dyDescent="0.3">
      <c r="B33" s="4">
        <v>44632</v>
      </c>
      <c r="C33" s="1" t="str">
        <f>TEXT(Actuals!$B33,"MMMM")</f>
        <v>March</v>
      </c>
      <c r="D33" s="1" t="s">
        <v>5</v>
      </c>
      <c r="E33" s="1" t="s">
        <v>40</v>
      </c>
      <c r="F33" s="1" t="str">
        <f>_xlfn.XLOOKUP(Actuals!$D33,$J$5:$J$13,$K$5:$K$13)</f>
        <v>Expense</v>
      </c>
      <c r="G33" s="5">
        <v>49</v>
      </c>
    </row>
    <row r="34" spans="2:7" ht="15.6" x14ac:dyDescent="0.3">
      <c r="B34" s="4">
        <v>44634</v>
      </c>
      <c r="C34" s="1" t="str">
        <f>TEXT(Actuals!$B34,"MMMM")</f>
        <v>March</v>
      </c>
      <c r="D34" s="1" t="s">
        <v>6</v>
      </c>
      <c r="E34" s="1" t="s">
        <v>27</v>
      </c>
      <c r="F34" s="1" t="str">
        <f>_xlfn.XLOOKUP(Actuals!$D34,$J$5:$J$13,$K$5:$K$13)</f>
        <v>Expense</v>
      </c>
      <c r="G34" s="5">
        <v>199</v>
      </c>
    </row>
    <row r="35" spans="2:7" ht="15.6" x14ac:dyDescent="0.3">
      <c r="B35" s="4">
        <v>44648</v>
      </c>
      <c r="C35" s="1" t="str">
        <f>TEXT(Actuals!$B35,"MMMM")</f>
        <v>March</v>
      </c>
      <c r="D35" s="1" t="s">
        <v>25</v>
      </c>
      <c r="E35" s="1" t="s">
        <v>29</v>
      </c>
      <c r="F35" s="1" t="str">
        <f>_xlfn.XLOOKUP(Actuals!$D35,$J$5:$J$13,$K$5:$K$13)</f>
        <v>Income</v>
      </c>
      <c r="G35" s="5">
        <v>598</v>
      </c>
    </row>
    <row r="36" spans="2:7" ht="15.6" x14ac:dyDescent="0.3">
      <c r="B36" s="4">
        <v>44648</v>
      </c>
      <c r="C36" s="1" t="str">
        <f>TEXT(Actuals!$B36,"MMMM")</f>
        <v>March</v>
      </c>
      <c r="D36" s="1" t="s">
        <v>28</v>
      </c>
      <c r="E36" s="1" t="s">
        <v>31</v>
      </c>
      <c r="F36" s="1" t="str">
        <f>_xlfn.XLOOKUP(Actuals!$D36,$J$5:$J$13,$K$5:$K$13)</f>
        <v>Income</v>
      </c>
      <c r="G36" s="5">
        <v>3000</v>
      </c>
    </row>
    <row r="37" spans="2:7" ht="15.6" x14ac:dyDescent="0.3">
      <c r="B37" s="4">
        <v>44648</v>
      </c>
      <c r="C37" s="1" t="str">
        <f>TEXT(Actuals!$B37,"MMMM")</f>
        <v>March</v>
      </c>
      <c r="D37" s="1" t="s">
        <v>30</v>
      </c>
      <c r="E37" s="1" t="s">
        <v>32</v>
      </c>
      <c r="F37" s="1" t="str">
        <f>_xlfn.XLOOKUP(Actuals!$D37,$J$5:$J$13,$K$5:$K$13)</f>
        <v>Income</v>
      </c>
      <c r="G37" s="5">
        <v>59</v>
      </c>
    </row>
    <row r="38" spans="2:7" ht="15.6" x14ac:dyDescent="0.3">
      <c r="B38" s="4">
        <v>44652</v>
      </c>
      <c r="C38" s="1" t="str">
        <f>TEXT(Actuals!$B38,"MMMM")</f>
        <v>April</v>
      </c>
      <c r="D38" s="1" t="s">
        <v>1</v>
      </c>
      <c r="E38" s="1" t="s">
        <v>16</v>
      </c>
      <c r="F38" s="1" t="str">
        <f>_xlfn.XLOOKUP(Actuals!$D38,$J$5:$J$13,$K$5:$K$13)</f>
        <v>Expense</v>
      </c>
      <c r="G38" s="5">
        <v>850</v>
      </c>
    </row>
    <row r="39" spans="2:7" ht="15.6" x14ac:dyDescent="0.3">
      <c r="B39" s="4">
        <v>44652</v>
      </c>
      <c r="C39" s="1" t="str">
        <f>TEXT(Actuals!$B39,"MMMM")</f>
        <v>April</v>
      </c>
      <c r="D39" s="1" t="s">
        <v>4</v>
      </c>
      <c r="E39" s="1" t="s">
        <v>18</v>
      </c>
      <c r="F39" s="1" t="str">
        <f>_xlfn.XLOOKUP(Actuals!$D39,$J$5:$J$13,$K$5:$K$13)</f>
        <v>Expense</v>
      </c>
      <c r="G39" s="5">
        <v>140</v>
      </c>
    </row>
    <row r="40" spans="2:7" ht="15.6" x14ac:dyDescent="0.3">
      <c r="B40" s="4">
        <v>44652</v>
      </c>
      <c r="C40" s="1" t="str">
        <f>TEXT(Actuals!$B40,"MMMM")</f>
        <v>April</v>
      </c>
      <c r="D40" s="1" t="s">
        <v>2</v>
      </c>
      <c r="E40" s="1" t="s">
        <v>19</v>
      </c>
      <c r="F40" s="1" t="str">
        <f>_xlfn.XLOOKUP(Actuals!$D40,$J$5:$J$13,$K$5:$K$13)</f>
        <v>Expense</v>
      </c>
      <c r="G40" s="5">
        <v>55</v>
      </c>
    </row>
    <row r="41" spans="2:7" ht="15.6" x14ac:dyDescent="0.3">
      <c r="B41" s="4">
        <v>44659</v>
      </c>
      <c r="C41" s="1" t="str">
        <f>TEXT(Actuals!$B41,"MMMM")</f>
        <v>April</v>
      </c>
      <c r="D41" s="1" t="s">
        <v>20</v>
      </c>
      <c r="E41" s="1" t="s">
        <v>21</v>
      </c>
      <c r="F41" s="1" t="str">
        <f>_xlfn.XLOOKUP(Actuals!$D41,$J$5:$J$13,$K$5:$K$13)</f>
        <v>Expense</v>
      </c>
      <c r="G41" s="5">
        <v>449</v>
      </c>
    </row>
    <row r="42" spans="2:7" ht="15.6" x14ac:dyDescent="0.3">
      <c r="B42" s="4">
        <v>44662</v>
      </c>
      <c r="C42" s="1" t="str">
        <f>TEXT(Actuals!$B42,"MMMM")</f>
        <v>April</v>
      </c>
      <c r="D42" s="1" t="s">
        <v>5</v>
      </c>
      <c r="E42" s="1" t="s">
        <v>41</v>
      </c>
      <c r="F42" s="1" t="str">
        <f>_xlfn.XLOOKUP(Actuals!$D42,$J$5:$J$13,$K$5:$K$13)</f>
        <v>Expense</v>
      </c>
      <c r="G42" s="5">
        <v>245</v>
      </c>
    </row>
    <row r="43" spans="2:7" ht="15.6" x14ac:dyDescent="0.3">
      <c r="B43" s="4">
        <v>44663</v>
      </c>
      <c r="C43" s="1" t="str">
        <f>TEXT(Actuals!$B43,"MMMM")</f>
        <v>April</v>
      </c>
      <c r="D43" s="1" t="s">
        <v>5</v>
      </c>
      <c r="E43" s="1" t="s">
        <v>23</v>
      </c>
      <c r="F43" s="1" t="str">
        <f>_xlfn.XLOOKUP(Actuals!$D43,$J$5:$J$13,$K$5:$K$13)</f>
        <v>Expense</v>
      </c>
      <c r="G43" s="5">
        <v>168</v>
      </c>
    </row>
    <row r="44" spans="2:7" ht="15.6" x14ac:dyDescent="0.3">
      <c r="B44" s="4">
        <v>44663</v>
      </c>
      <c r="C44" s="1" t="str">
        <f>TEXT(Actuals!$B44,"MMMM")</f>
        <v>April</v>
      </c>
      <c r="D44" s="1" t="s">
        <v>5</v>
      </c>
      <c r="E44" s="1" t="s">
        <v>42</v>
      </c>
      <c r="F44" s="1" t="str">
        <f>_xlfn.XLOOKUP(Actuals!$D44,$J$5:$J$13,$K$5:$K$13)</f>
        <v>Expense</v>
      </c>
      <c r="G44" s="5">
        <v>49</v>
      </c>
    </row>
    <row r="45" spans="2:7" ht="15.6" x14ac:dyDescent="0.3">
      <c r="B45" s="4">
        <v>44665</v>
      </c>
      <c r="C45" s="1" t="str">
        <f>TEXT(Actuals!$B45,"MMMM")</f>
        <v>April</v>
      </c>
      <c r="D45" s="1" t="s">
        <v>6</v>
      </c>
      <c r="E45" s="1" t="s">
        <v>27</v>
      </c>
      <c r="F45" s="1" t="str">
        <f>_xlfn.XLOOKUP(Actuals!$D45,$J$5:$J$13,$K$5:$K$13)</f>
        <v>Expense</v>
      </c>
      <c r="G45" s="5">
        <v>249</v>
      </c>
    </row>
    <row r="46" spans="2:7" ht="15.6" x14ac:dyDescent="0.3">
      <c r="B46" s="4">
        <v>44679</v>
      </c>
      <c r="C46" s="1" t="str">
        <f>TEXT(Actuals!$B46,"MMMM")</f>
        <v>April</v>
      </c>
      <c r="D46" s="1" t="s">
        <v>25</v>
      </c>
      <c r="E46" s="1" t="s">
        <v>29</v>
      </c>
      <c r="F46" s="1" t="str">
        <f>_xlfn.XLOOKUP(Actuals!$D46,$J$5:$J$13,$K$5:$K$13)</f>
        <v>Income</v>
      </c>
      <c r="G46" s="5">
        <v>669</v>
      </c>
    </row>
    <row r="47" spans="2:7" ht="15.6" x14ac:dyDescent="0.3">
      <c r="B47" s="4">
        <v>44679</v>
      </c>
      <c r="C47" s="1" t="str">
        <f>TEXT(Actuals!$B47,"MMMM")</f>
        <v>April</v>
      </c>
      <c r="D47" s="1" t="s">
        <v>28</v>
      </c>
      <c r="E47" s="1" t="s">
        <v>31</v>
      </c>
      <c r="F47" s="1" t="str">
        <f>_xlfn.XLOOKUP(Actuals!$D47,$J$5:$J$13,$K$5:$K$13)</f>
        <v>Income</v>
      </c>
      <c r="G47" s="5">
        <v>3000</v>
      </c>
    </row>
    <row r="48" spans="2:7" ht="15.6" x14ac:dyDescent="0.3">
      <c r="B48" s="4">
        <v>44679</v>
      </c>
      <c r="C48" s="1" t="str">
        <f>TEXT(Actuals!$B48,"MMMM")</f>
        <v>April</v>
      </c>
      <c r="D48" s="1" t="s">
        <v>30</v>
      </c>
      <c r="E48" s="1" t="s">
        <v>32</v>
      </c>
      <c r="F48" s="1" t="str">
        <f>_xlfn.XLOOKUP(Actuals!$D48,$J$5:$J$13,$K$5:$K$13)</f>
        <v>Income</v>
      </c>
      <c r="G48" s="5">
        <v>258</v>
      </c>
    </row>
    <row r="49" spans="2:7" ht="15.6" x14ac:dyDescent="0.3">
      <c r="B49" s="4">
        <v>44682</v>
      </c>
      <c r="C49" s="1" t="str">
        <f>TEXT(Actuals!$B49,"MMMM")</f>
        <v>May</v>
      </c>
      <c r="D49" s="1" t="s">
        <v>1</v>
      </c>
      <c r="E49" s="1" t="s">
        <v>16</v>
      </c>
      <c r="F49" s="1" t="str">
        <f>_xlfn.XLOOKUP(Actuals!$D49,$J$5:$J$13,$K$5:$K$13)</f>
        <v>Expense</v>
      </c>
      <c r="G49" s="5">
        <v>850</v>
      </c>
    </row>
    <row r="50" spans="2:7" ht="15.6" x14ac:dyDescent="0.3">
      <c r="B50" s="4">
        <v>44682</v>
      </c>
      <c r="C50" s="1" t="str">
        <f>TEXT(Actuals!$B50,"MMMM")</f>
        <v>May</v>
      </c>
      <c r="D50" s="1" t="s">
        <v>4</v>
      </c>
      <c r="E50" s="1" t="s">
        <v>18</v>
      </c>
      <c r="F50" s="1" t="str">
        <f>_xlfn.XLOOKUP(Actuals!$D50,$J$5:$J$13,$K$5:$K$13)</f>
        <v>Expense</v>
      </c>
      <c r="G50" s="5">
        <v>155</v>
      </c>
    </row>
    <row r="51" spans="2:7" ht="15.6" x14ac:dyDescent="0.3">
      <c r="B51" s="4">
        <v>44682</v>
      </c>
      <c r="C51" s="1" t="str">
        <f>TEXT(Actuals!$B51,"MMMM")</f>
        <v>May</v>
      </c>
      <c r="D51" s="1" t="s">
        <v>2</v>
      </c>
      <c r="E51" s="1" t="s">
        <v>19</v>
      </c>
      <c r="F51" s="1" t="str">
        <f>_xlfn.XLOOKUP(Actuals!$D51,$J$5:$J$13,$K$5:$K$13)</f>
        <v>Expense</v>
      </c>
      <c r="G51" s="5">
        <v>55</v>
      </c>
    </row>
    <row r="52" spans="2:7" ht="15.6" x14ac:dyDescent="0.3">
      <c r="B52" s="4">
        <v>44689</v>
      </c>
      <c r="C52" s="1" t="str">
        <f>TEXT(Actuals!$B52,"MMMM")</f>
        <v>May</v>
      </c>
      <c r="D52" s="1" t="s">
        <v>20</v>
      </c>
      <c r="E52" s="1" t="s">
        <v>21</v>
      </c>
      <c r="F52" s="1" t="str">
        <f>_xlfn.XLOOKUP(Actuals!$D52,$J$5:$J$13,$K$5:$K$13)</f>
        <v>Expense</v>
      </c>
      <c r="G52" s="5">
        <v>449</v>
      </c>
    </row>
    <row r="53" spans="2:7" ht="15.6" x14ac:dyDescent="0.3">
      <c r="B53" s="4">
        <v>44692</v>
      </c>
      <c r="C53" s="1" t="str">
        <f>TEXT(Actuals!$B53,"MMMM")</f>
        <v>May</v>
      </c>
      <c r="D53" s="1" t="s">
        <v>5</v>
      </c>
      <c r="E53" s="1" t="s">
        <v>22</v>
      </c>
      <c r="F53" s="1" t="str">
        <f>_xlfn.XLOOKUP(Actuals!$D53,$J$5:$J$13,$K$5:$K$13)</f>
        <v>Expense</v>
      </c>
      <c r="G53" s="5">
        <v>245</v>
      </c>
    </row>
    <row r="54" spans="2:7" ht="15.6" x14ac:dyDescent="0.3">
      <c r="B54" s="4">
        <v>44693</v>
      </c>
      <c r="C54" s="1" t="str">
        <f>TEXT(Actuals!$B54,"MMMM")</f>
        <v>May</v>
      </c>
      <c r="D54" s="1" t="s">
        <v>5</v>
      </c>
      <c r="E54" s="1" t="s">
        <v>23</v>
      </c>
      <c r="F54" s="1" t="str">
        <f>_xlfn.XLOOKUP(Actuals!$D54,$J$5:$J$13,$K$5:$K$13)</f>
        <v>Expense</v>
      </c>
      <c r="G54" s="5">
        <v>168</v>
      </c>
    </row>
    <row r="55" spans="2:7" ht="15.6" x14ac:dyDescent="0.3">
      <c r="B55" s="4">
        <v>44693</v>
      </c>
      <c r="C55" s="1" t="str">
        <f>TEXT(Actuals!$B55,"MMMM")</f>
        <v>May</v>
      </c>
      <c r="D55" s="1" t="s">
        <v>5</v>
      </c>
      <c r="E55" s="1" t="s">
        <v>43</v>
      </c>
      <c r="F55" s="1" t="str">
        <f>_xlfn.XLOOKUP(Actuals!$D55,$J$5:$J$13,$K$5:$K$13)</f>
        <v>Expense</v>
      </c>
      <c r="G55" s="5">
        <v>233</v>
      </c>
    </row>
    <row r="56" spans="2:7" ht="15.6" x14ac:dyDescent="0.3">
      <c r="B56" s="4">
        <v>44695</v>
      </c>
      <c r="C56" s="1" t="str">
        <f>TEXT(Actuals!$B56,"MMMM")</f>
        <v>May</v>
      </c>
      <c r="D56" s="1" t="s">
        <v>6</v>
      </c>
      <c r="E56" s="1" t="s">
        <v>27</v>
      </c>
      <c r="F56" s="1" t="str">
        <f>_xlfn.XLOOKUP(Actuals!$D56,$J$5:$J$13,$K$5:$K$13)</f>
        <v>Expense</v>
      </c>
      <c r="G56" s="5">
        <v>249</v>
      </c>
    </row>
    <row r="57" spans="2:7" ht="15.6" x14ac:dyDescent="0.3">
      <c r="B57" s="4">
        <v>44709</v>
      </c>
      <c r="C57" s="1" t="str">
        <f>TEXT(Actuals!$B57,"MMMM")</f>
        <v>May</v>
      </c>
      <c r="D57" s="1" t="s">
        <v>25</v>
      </c>
      <c r="E57" s="1" t="s">
        <v>29</v>
      </c>
      <c r="F57" s="1" t="str">
        <f>_xlfn.XLOOKUP(Actuals!$D57,$J$5:$J$13,$K$5:$K$13)</f>
        <v>Income</v>
      </c>
      <c r="G57" s="5">
        <v>708</v>
      </c>
    </row>
    <row r="58" spans="2:7" ht="15.6" x14ac:dyDescent="0.3">
      <c r="B58" s="4">
        <v>44709</v>
      </c>
      <c r="C58" s="1" t="str">
        <f>TEXT(Actuals!$B58,"MMMM")</f>
        <v>May</v>
      </c>
      <c r="D58" s="1" t="s">
        <v>28</v>
      </c>
      <c r="E58" s="1" t="s">
        <v>31</v>
      </c>
      <c r="F58" s="1" t="str">
        <f>_xlfn.XLOOKUP(Actuals!$D58,$J$5:$J$13,$K$5:$K$13)</f>
        <v>Income</v>
      </c>
      <c r="G58" s="5">
        <v>3000</v>
      </c>
    </row>
    <row r="59" spans="2:7" ht="15.6" x14ac:dyDescent="0.3">
      <c r="B59" s="4">
        <v>44709</v>
      </c>
      <c r="C59" s="1" t="str">
        <f>TEXT(Actuals!$B59,"MMMM")</f>
        <v>May</v>
      </c>
      <c r="D59" s="1" t="s">
        <v>30</v>
      </c>
      <c r="E59" s="1" t="s">
        <v>32</v>
      </c>
      <c r="F59" s="1" t="str">
        <f>_xlfn.XLOOKUP(Actuals!$D59,$J$5:$J$13,$K$5:$K$13)</f>
        <v>Income</v>
      </c>
      <c r="G59" s="5">
        <v>366</v>
      </c>
    </row>
    <row r="60" spans="2:7" ht="15.6" x14ac:dyDescent="0.3">
      <c r="B60" s="4">
        <v>44710</v>
      </c>
      <c r="C60" s="1" t="str">
        <f>TEXT(Actuals!$B60,"MMMM")</f>
        <v>May</v>
      </c>
      <c r="D60" s="1" t="s">
        <v>30</v>
      </c>
      <c r="E60" s="1" t="s">
        <v>44</v>
      </c>
      <c r="F60" s="1" t="str">
        <f>_xlfn.XLOOKUP(Actuals!$D60,$J$5:$J$13,$K$5:$K$13)</f>
        <v>Income</v>
      </c>
      <c r="G60" s="5">
        <v>1000</v>
      </c>
    </row>
  </sheetData>
  <dataValidations count="2">
    <dataValidation type="list" allowBlank="1" showErrorMessage="1" sqref="D5:D60" xr:uid="{00000000-0002-0000-0300-000000000000}">
      <formula1>$J$5:$J$13</formula1>
    </dataValidation>
    <dataValidation type="list" allowBlank="1" showErrorMessage="1" sqref="F5:F60" xr:uid="{00000000-0002-0000-0300-000001000000}">
      <formula1>"Income,Expense"</formula1>
    </dataValidation>
  </dataValidations>
  <pageMargins left="0.7" right="0.7" top="0.75" bottom="0.75" header="0" footer="0"/>
  <pageSetup orientation="landscape"/>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F53F6-7881-4A8D-8BA5-1B84DA07E2DB}">
  <dimension ref="A1:T11"/>
  <sheetViews>
    <sheetView showGridLines="0" tabSelected="1" zoomScale="109" zoomScaleNormal="100" workbookViewId="0">
      <selection activeCell="K8" sqref="K8"/>
    </sheetView>
  </sheetViews>
  <sheetFormatPr defaultRowHeight="15.6" x14ac:dyDescent="0.3"/>
  <sheetData>
    <row r="1" spans="1:20" ht="46.2" x14ac:dyDescent="0.85">
      <c r="A1" s="21" t="s">
        <v>0</v>
      </c>
      <c r="B1" s="21"/>
      <c r="C1" s="21"/>
      <c r="D1" s="21"/>
      <c r="E1" s="21"/>
      <c r="F1" s="21"/>
      <c r="G1" s="21"/>
      <c r="H1" s="21"/>
      <c r="I1" s="21"/>
      <c r="J1" s="21"/>
      <c r="K1" s="21"/>
      <c r="L1" s="21"/>
      <c r="M1" s="21"/>
      <c r="N1" s="21"/>
      <c r="O1" s="21"/>
      <c r="P1" s="21"/>
      <c r="Q1" s="21"/>
      <c r="R1" s="21"/>
      <c r="S1" s="21"/>
      <c r="T1" s="21"/>
    </row>
    <row r="2" spans="1:20" x14ac:dyDescent="0.3">
      <c r="A2" s="10"/>
      <c r="B2" s="10"/>
      <c r="C2" s="10"/>
      <c r="D2" s="10"/>
      <c r="E2" s="10"/>
      <c r="F2" s="10"/>
      <c r="G2" s="10"/>
      <c r="H2" s="10"/>
      <c r="I2" s="10"/>
      <c r="J2" s="10"/>
      <c r="K2" s="10"/>
      <c r="L2" s="10"/>
      <c r="M2" s="10"/>
      <c r="N2" s="10"/>
      <c r="O2" s="10"/>
      <c r="P2" s="10"/>
      <c r="Q2" s="10"/>
      <c r="R2" s="10"/>
      <c r="S2" s="10"/>
      <c r="T2" s="10"/>
    </row>
    <row r="3" spans="1:20" x14ac:dyDescent="0.3">
      <c r="A3" s="10"/>
      <c r="B3" s="10"/>
      <c r="C3" s="10"/>
      <c r="D3" s="10"/>
      <c r="E3" s="10"/>
      <c r="F3" s="10"/>
      <c r="G3" s="10"/>
      <c r="H3" s="10"/>
      <c r="I3" s="10"/>
      <c r="J3" s="10"/>
      <c r="K3" s="10"/>
      <c r="L3" s="10"/>
      <c r="M3" s="10"/>
      <c r="N3" s="10"/>
      <c r="O3" s="10"/>
      <c r="P3" s="10"/>
      <c r="Q3" s="10"/>
      <c r="R3" s="10"/>
      <c r="S3" s="10"/>
      <c r="T3" s="10"/>
    </row>
    <row r="4" spans="1:20" ht="18" x14ac:dyDescent="0.35">
      <c r="A4" s="10"/>
      <c r="B4" s="22" t="s">
        <v>1</v>
      </c>
      <c r="C4" s="22"/>
      <c r="D4" s="10"/>
      <c r="E4" s="22" t="s">
        <v>2</v>
      </c>
      <c r="F4" s="22"/>
      <c r="G4" s="10"/>
      <c r="H4" s="22" t="s">
        <v>3</v>
      </c>
      <c r="I4" s="22"/>
      <c r="J4" s="11"/>
      <c r="K4" s="22" t="s">
        <v>4</v>
      </c>
      <c r="L4" s="22"/>
      <c r="M4" s="10"/>
      <c r="N4" s="22" t="s">
        <v>5</v>
      </c>
      <c r="O4" s="22"/>
      <c r="P4" s="10"/>
      <c r="Q4" s="22" t="s">
        <v>59</v>
      </c>
      <c r="R4" s="22"/>
      <c r="S4" s="10"/>
      <c r="T4" s="10"/>
    </row>
    <row r="5" spans="1:20" x14ac:dyDescent="0.3">
      <c r="A5" s="10"/>
      <c r="B5" s="25">
        <f>GETPIVOTDATA("Amount",'Pivot tables'!$A$3,"Category","Rent")</f>
        <v>1700</v>
      </c>
      <c r="C5" s="25"/>
      <c r="D5" s="10"/>
      <c r="E5" s="25">
        <f>GETPIVOTDATA("Amount",'Pivot tables'!$A$8,"Category","Transport")</f>
        <v>110</v>
      </c>
      <c r="F5" s="25"/>
      <c r="G5" s="10"/>
      <c r="H5" s="25">
        <f>GETPIVOTDATA("Amount",'Pivot tables'!$A$18,"Category","Groceries")</f>
        <v>754</v>
      </c>
      <c r="I5" s="25"/>
      <c r="J5" s="10"/>
      <c r="K5" s="25">
        <f>GETPIVOTDATA("Amount",'Pivot tables'!$A$13,"Category","Utilities")</f>
        <v>245</v>
      </c>
      <c r="L5" s="25"/>
      <c r="M5" s="10"/>
      <c r="N5" s="25">
        <f>GETPIVOTDATA("Amount",'Pivot tables'!$A$23,"Category","Leisure")</f>
        <v>756</v>
      </c>
      <c r="O5" s="25"/>
      <c r="P5" s="10"/>
      <c r="Q5" s="25">
        <f>GETPIVOTDATA("Amount",'Pivot tables'!$A$28,"Category","Other")</f>
        <v>267</v>
      </c>
      <c r="R5" s="25"/>
      <c r="S5" s="10"/>
      <c r="T5" s="10"/>
    </row>
    <row r="6" spans="1:20" x14ac:dyDescent="0.3">
      <c r="A6" s="10"/>
      <c r="B6" s="10"/>
      <c r="C6" s="10"/>
      <c r="D6" s="10"/>
      <c r="E6" s="10"/>
      <c r="F6" s="10"/>
      <c r="G6" s="10"/>
      <c r="H6" s="10"/>
      <c r="I6" s="10"/>
      <c r="J6" s="10"/>
      <c r="K6" s="10"/>
      <c r="L6" s="10"/>
      <c r="M6" s="10"/>
      <c r="N6" s="10"/>
      <c r="O6" s="10"/>
      <c r="P6" s="10"/>
      <c r="Q6" s="10"/>
      <c r="R6" s="10"/>
      <c r="S6" s="10"/>
      <c r="T6" s="10"/>
    </row>
    <row r="7" spans="1:20" x14ac:dyDescent="0.3">
      <c r="K7" s="17"/>
    </row>
    <row r="9" spans="1:20" ht="18" x14ac:dyDescent="0.35">
      <c r="B9" s="24" t="s">
        <v>7</v>
      </c>
      <c r="C9" s="24"/>
      <c r="D9" s="24"/>
    </row>
    <row r="11" spans="1:20" x14ac:dyDescent="0.3">
      <c r="B11" s="23">
        <v>3000</v>
      </c>
      <c r="C11" s="23"/>
      <c r="D11" s="23"/>
    </row>
  </sheetData>
  <mergeCells count="15">
    <mergeCell ref="B11:D11"/>
    <mergeCell ref="B9:D9"/>
    <mergeCell ref="B5:C5"/>
    <mergeCell ref="Q5:R5"/>
    <mergeCell ref="N5:O5"/>
    <mergeCell ref="K5:L5"/>
    <mergeCell ref="H5:I5"/>
    <mergeCell ref="E5:F5"/>
    <mergeCell ref="A1:T1"/>
    <mergeCell ref="B4:C4"/>
    <mergeCell ref="E4:F4"/>
    <mergeCell ref="K4:L4"/>
    <mergeCell ref="H4:I4"/>
    <mergeCell ref="N4:O4"/>
    <mergeCell ref="Q4:R4"/>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priority="6" id="{C2678523-10AD-4E7A-AF4B-5E2F9AF470BF}">
            <x14:dataBar minLength="0" maxLength="100" gradient="0">
              <x14:cfvo type="autoMin"/>
              <x14:cfvo type="num">
                <xm:f>'Pivot tables'!$B$35</xm:f>
              </x14:cfvo>
              <x14:fillColor rgb="FF000066"/>
              <x14:negativeFillColor rgb="FFFF0000"/>
              <x14:axisColor rgb="FF000000"/>
            </x14:dataBar>
          </x14:cfRule>
          <xm:sqref>B5:C5</xm:sqref>
        </x14:conditionalFormatting>
        <x14:conditionalFormatting xmlns:xm="http://schemas.microsoft.com/office/excel/2006/main">
          <x14:cfRule type="dataBar" priority="5" id="{C56CCEC1-FBE0-4FBE-A1D6-0CC4835CBE0C}">
            <x14:dataBar minLength="0" maxLength="100" gradient="0">
              <x14:cfvo type="autoMin"/>
              <x14:cfvo type="num">
                <xm:f>'Pivot tables'!$B$41</xm:f>
              </x14:cfvo>
              <x14:fillColor rgb="FF000066"/>
              <x14:negativeFillColor rgb="FFFF0000"/>
              <x14:axisColor rgb="FF000000"/>
            </x14:dataBar>
          </x14:cfRule>
          <xm:sqref>E5:F5</xm:sqref>
        </x14:conditionalFormatting>
        <x14:conditionalFormatting xmlns:xm="http://schemas.microsoft.com/office/excel/2006/main">
          <x14:cfRule type="dataBar" priority="4" id="{C2BE7090-4C6D-489A-9669-79C6AD1C8296}">
            <x14:dataBar minLength="0" maxLength="100" gradient="0">
              <x14:cfvo type="autoMin"/>
              <x14:cfvo type="num">
                <xm:f>'Pivot tables'!$B$47</xm:f>
              </x14:cfvo>
              <x14:fillColor rgb="FF000066"/>
              <x14:negativeFillColor rgb="FFFF0000"/>
              <x14:axisColor rgb="FF000000"/>
            </x14:dataBar>
          </x14:cfRule>
          <xm:sqref>H5:I5</xm:sqref>
        </x14:conditionalFormatting>
        <x14:conditionalFormatting xmlns:xm="http://schemas.microsoft.com/office/excel/2006/main">
          <x14:cfRule type="dataBar" priority="3" id="{6953B8CC-B95A-4F5C-878E-EE108A339130}">
            <x14:dataBar minLength="0" maxLength="100" gradient="0">
              <x14:cfvo type="autoMin"/>
              <x14:cfvo type="num">
                <xm:f>'Pivot tables'!$B$59</xm:f>
              </x14:cfvo>
              <x14:fillColor rgb="FF000066"/>
              <x14:negativeFillColor rgb="FFFF0000"/>
              <x14:axisColor rgb="FF000000"/>
            </x14:dataBar>
          </x14:cfRule>
          <xm:sqref>K5:L5</xm:sqref>
        </x14:conditionalFormatting>
        <x14:conditionalFormatting xmlns:xm="http://schemas.microsoft.com/office/excel/2006/main">
          <x14:cfRule type="dataBar" priority="2" id="{8A340B23-9BE6-4D16-A376-C23E79260B4D}">
            <x14:dataBar minLength="0" maxLength="100" gradient="0">
              <x14:cfvo type="autoMin"/>
              <x14:cfvo type="num">
                <xm:f>'Pivot tables'!$B$53</xm:f>
              </x14:cfvo>
              <x14:fillColor rgb="FF000066"/>
              <x14:negativeFillColor rgb="FFFF0000"/>
              <x14:axisColor rgb="FF000000"/>
            </x14:dataBar>
          </x14:cfRule>
          <xm:sqref>N5:O5</xm:sqref>
        </x14:conditionalFormatting>
        <x14:conditionalFormatting xmlns:xm="http://schemas.microsoft.com/office/excel/2006/main">
          <x14:cfRule type="dataBar" priority="1" id="{2EF36131-BAB9-4AE3-9220-73AC057B758A}">
            <x14:dataBar minLength="0" maxLength="100" gradient="0">
              <x14:cfvo type="autoMin"/>
              <x14:cfvo type="num">
                <xm:f>'Pivot tables'!$B$65</xm:f>
              </x14:cfvo>
              <x14:fillColor rgb="FF000066"/>
              <x14:negativeFillColor rgb="FFFF0000"/>
              <x14:axisColor rgb="FF000000"/>
            </x14:dataBar>
          </x14:cfRule>
          <xm:sqref>Q5:R5</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112"/>
  <sheetViews>
    <sheetView showGridLines="0" topLeftCell="A5" workbookViewId="0">
      <selection activeCell="D13" sqref="D13"/>
    </sheetView>
  </sheetViews>
  <sheetFormatPr defaultColWidth="11.19921875" defaultRowHeight="15" customHeight="1" x14ac:dyDescent="0.3"/>
  <cols>
    <col min="1" max="26" width="10.59765625" customWidth="1"/>
  </cols>
  <sheetData>
    <row r="1" spans="2:5" ht="15.6" x14ac:dyDescent="0.3"/>
    <row r="2" spans="2:5" ht="21" x14ac:dyDescent="0.4">
      <c r="B2" s="2" t="s">
        <v>45</v>
      </c>
      <c r="C2" s="2"/>
      <c r="D2" s="2"/>
      <c r="E2" s="2"/>
    </row>
    <row r="3" spans="2:5" ht="13.5" customHeight="1" x14ac:dyDescent="0.4">
      <c r="B3" s="7"/>
      <c r="C3" s="7"/>
      <c r="D3" s="7"/>
      <c r="E3" s="7"/>
    </row>
    <row r="4" spans="2:5" ht="15.6" x14ac:dyDescent="0.3">
      <c r="B4" s="8" t="s">
        <v>10</v>
      </c>
      <c r="C4" s="8" t="s">
        <v>11</v>
      </c>
      <c r="D4" s="8" t="s">
        <v>46</v>
      </c>
      <c r="E4" s="8" t="s">
        <v>15</v>
      </c>
    </row>
    <row r="5" spans="2:5" ht="15.6" x14ac:dyDescent="0.3">
      <c r="B5" s="1" t="s">
        <v>47</v>
      </c>
      <c r="C5" s="1" t="s">
        <v>1</v>
      </c>
      <c r="D5" s="9">
        <v>850</v>
      </c>
      <c r="E5" s="1" t="str">
        <f>_xlfn.XLOOKUP(Budget!$C5,Actuals!$J$5:$J$13,Actuals!$K$5:$K$13)</f>
        <v>Expense</v>
      </c>
    </row>
    <row r="6" spans="2:5" ht="15.6" x14ac:dyDescent="0.3">
      <c r="B6" s="1" t="s">
        <v>47</v>
      </c>
      <c r="C6" s="1" t="s">
        <v>4</v>
      </c>
      <c r="D6" s="9">
        <v>200</v>
      </c>
      <c r="E6" s="1" t="str">
        <f>_xlfn.XLOOKUP(Budget!$C6,Actuals!$J$5:$J$13,Actuals!$K$5:$K$13)</f>
        <v>Expense</v>
      </c>
    </row>
    <row r="7" spans="2:5" ht="15.6" x14ac:dyDescent="0.3">
      <c r="B7" s="1" t="s">
        <v>47</v>
      </c>
      <c r="C7" s="1" t="s">
        <v>2</v>
      </c>
      <c r="D7" s="9">
        <v>75</v>
      </c>
      <c r="E7" s="1" t="str">
        <f>_xlfn.XLOOKUP(Budget!$C7,Actuals!$J$5:$J$13,Actuals!$K$5:$K$13)</f>
        <v>Expense</v>
      </c>
    </row>
    <row r="8" spans="2:5" ht="15.6" x14ac:dyDescent="0.3">
      <c r="B8" s="1" t="s">
        <v>47</v>
      </c>
      <c r="C8" s="1" t="s">
        <v>20</v>
      </c>
      <c r="D8" s="9">
        <v>550</v>
      </c>
      <c r="E8" s="1" t="str">
        <f>_xlfn.XLOOKUP(Budget!$C8,Actuals!$J$5:$J$13,Actuals!$K$5:$K$13)</f>
        <v>Expense</v>
      </c>
    </row>
    <row r="9" spans="2:5" ht="15.6" x14ac:dyDescent="0.3">
      <c r="B9" s="1" t="s">
        <v>47</v>
      </c>
      <c r="C9" s="1" t="s">
        <v>5</v>
      </c>
      <c r="D9" s="9">
        <v>400</v>
      </c>
      <c r="E9" s="1" t="str">
        <f>_xlfn.XLOOKUP(Budget!$C9,Actuals!$J$5:$J$13,Actuals!$K$5:$K$13)</f>
        <v>Expense</v>
      </c>
    </row>
    <row r="10" spans="2:5" ht="15.6" x14ac:dyDescent="0.3">
      <c r="B10" s="1" t="s">
        <v>47</v>
      </c>
      <c r="C10" s="1" t="s">
        <v>6</v>
      </c>
      <c r="D10" s="9">
        <v>300</v>
      </c>
      <c r="E10" s="1" t="str">
        <f>_xlfn.XLOOKUP(Budget!$C10,Actuals!$J$5:$J$13,Actuals!$K$5:$K$13)</f>
        <v>Expense</v>
      </c>
    </row>
    <row r="11" spans="2:5" ht="15.6" x14ac:dyDescent="0.3">
      <c r="B11" s="1" t="s">
        <v>47</v>
      </c>
      <c r="C11" s="1" t="s">
        <v>25</v>
      </c>
      <c r="D11" s="9">
        <v>2200</v>
      </c>
      <c r="E11" s="1" t="str">
        <f>_xlfn.XLOOKUP(Budget!$C11,Actuals!$J$5:$J$13,Actuals!$K$5:$K$13)</f>
        <v>Income</v>
      </c>
    </row>
    <row r="12" spans="2:5" ht="15.6" x14ac:dyDescent="0.3">
      <c r="B12" s="1" t="s">
        <v>47</v>
      </c>
      <c r="C12" s="1" t="s">
        <v>28</v>
      </c>
      <c r="D12" s="9">
        <v>500</v>
      </c>
      <c r="E12" s="1" t="str">
        <f>_xlfn.XLOOKUP(Budget!$C12,Actuals!$J$5:$J$13,Actuals!$K$5:$K$13)</f>
        <v>Income</v>
      </c>
    </row>
    <row r="13" spans="2:5" ht="15.6" x14ac:dyDescent="0.3">
      <c r="B13" s="1" t="s">
        <v>47</v>
      </c>
      <c r="C13" s="1" t="s">
        <v>30</v>
      </c>
      <c r="D13" s="9">
        <v>100</v>
      </c>
      <c r="E13" s="1" t="str">
        <f>_xlfn.XLOOKUP(Budget!$C13,Actuals!$J$5:$J$13,Actuals!$K$5:$K$13)</f>
        <v>Income</v>
      </c>
    </row>
    <row r="14" spans="2:5" ht="15.6" x14ac:dyDescent="0.3">
      <c r="B14" s="1" t="s">
        <v>48</v>
      </c>
      <c r="C14" s="1" t="s">
        <v>1</v>
      </c>
      <c r="D14" s="9">
        <v>850</v>
      </c>
      <c r="E14" s="1" t="str">
        <f>_xlfn.XLOOKUP(Budget!$C14,Actuals!$J$5:$J$13,Actuals!$K$5:$K$13)</f>
        <v>Expense</v>
      </c>
    </row>
    <row r="15" spans="2:5" ht="15.6" x14ac:dyDescent="0.3">
      <c r="B15" s="1" t="s">
        <v>48</v>
      </c>
      <c r="C15" s="1" t="s">
        <v>4</v>
      </c>
      <c r="D15" s="9">
        <v>200</v>
      </c>
      <c r="E15" s="1" t="str">
        <f>_xlfn.XLOOKUP(Budget!$C15,Actuals!$J$5:$J$13,Actuals!$K$5:$K$13)</f>
        <v>Expense</v>
      </c>
    </row>
    <row r="16" spans="2:5" ht="15.6" x14ac:dyDescent="0.3">
      <c r="B16" s="1" t="s">
        <v>48</v>
      </c>
      <c r="C16" s="1" t="s">
        <v>2</v>
      </c>
      <c r="D16" s="9">
        <v>75</v>
      </c>
      <c r="E16" s="1" t="str">
        <f>_xlfn.XLOOKUP(Budget!$C16,Actuals!$J$5:$J$13,Actuals!$K$5:$K$13)</f>
        <v>Expense</v>
      </c>
    </row>
    <row r="17" spans="2:5" ht="15.6" x14ac:dyDescent="0.3">
      <c r="B17" s="1" t="s">
        <v>48</v>
      </c>
      <c r="C17" s="1" t="s">
        <v>20</v>
      </c>
      <c r="D17" s="9">
        <v>550</v>
      </c>
      <c r="E17" s="1" t="str">
        <f>_xlfn.XLOOKUP(Budget!$C17,Actuals!$J$5:$J$13,Actuals!$K$5:$K$13)</f>
        <v>Expense</v>
      </c>
    </row>
    <row r="18" spans="2:5" ht="15.6" x14ac:dyDescent="0.3">
      <c r="B18" s="1" t="s">
        <v>48</v>
      </c>
      <c r="C18" s="1" t="s">
        <v>5</v>
      </c>
      <c r="D18" s="9">
        <v>400</v>
      </c>
      <c r="E18" s="1" t="str">
        <f>_xlfn.XLOOKUP(Budget!$C18,Actuals!$J$5:$J$13,Actuals!$K$5:$K$13)</f>
        <v>Expense</v>
      </c>
    </row>
    <row r="19" spans="2:5" ht="15.6" x14ac:dyDescent="0.3">
      <c r="B19" s="1" t="s">
        <v>48</v>
      </c>
      <c r="C19" s="1" t="s">
        <v>6</v>
      </c>
      <c r="D19" s="9">
        <v>300</v>
      </c>
      <c r="E19" s="1" t="str">
        <f>_xlfn.XLOOKUP(Budget!$C19,Actuals!$J$5:$J$13,Actuals!$K$5:$K$13)</f>
        <v>Expense</v>
      </c>
    </row>
    <row r="20" spans="2:5" ht="15.6" x14ac:dyDescent="0.3">
      <c r="B20" s="1" t="s">
        <v>48</v>
      </c>
      <c r="C20" s="1" t="s">
        <v>25</v>
      </c>
      <c r="D20" s="9">
        <v>2200</v>
      </c>
      <c r="E20" s="1" t="str">
        <f>_xlfn.XLOOKUP(Budget!$C20,Actuals!$J$5:$J$13,Actuals!$K$5:$K$13)</f>
        <v>Income</v>
      </c>
    </row>
    <row r="21" spans="2:5" ht="15.6" x14ac:dyDescent="0.3">
      <c r="B21" s="1" t="s">
        <v>48</v>
      </c>
      <c r="C21" s="1" t="s">
        <v>28</v>
      </c>
      <c r="D21" s="9">
        <v>500</v>
      </c>
      <c r="E21" s="1" t="str">
        <f>_xlfn.XLOOKUP(Budget!$C21,Actuals!$J$5:$J$13,Actuals!$K$5:$K$13)</f>
        <v>Income</v>
      </c>
    </row>
    <row r="22" spans="2:5" ht="15.6" x14ac:dyDescent="0.3">
      <c r="B22" s="1" t="s">
        <v>48</v>
      </c>
      <c r="C22" s="1" t="s">
        <v>30</v>
      </c>
      <c r="D22" s="9">
        <v>100</v>
      </c>
      <c r="E22" s="1" t="str">
        <f>_xlfn.XLOOKUP(Budget!$C22,Actuals!$J$5:$J$13,Actuals!$K$5:$K$13)</f>
        <v>Income</v>
      </c>
    </row>
    <row r="23" spans="2:5" ht="15.6" x14ac:dyDescent="0.3">
      <c r="B23" s="1" t="s">
        <v>49</v>
      </c>
      <c r="C23" s="1" t="s">
        <v>1</v>
      </c>
      <c r="D23" s="9">
        <v>850</v>
      </c>
      <c r="E23" s="1" t="str">
        <f>_xlfn.XLOOKUP(Budget!$C23,Actuals!$J$5:$J$13,Actuals!$K$5:$K$13)</f>
        <v>Expense</v>
      </c>
    </row>
    <row r="24" spans="2:5" ht="15.6" x14ac:dyDescent="0.3">
      <c r="B24" s="1" t="s">
        <v>49</v>
      </c>
      <c r="C24" s="1" t="s">
        <v>4</v>
      </c>
      <c r="D24" s="9">
        <v>200</v>
      </c>
      <c r="E24" s="1" t="str">
        <f>_xlfn.XLOOKUP(Budget!$C24,Actuals!$J$5:$J$13,Actuals!$K$5:$K$13)</f>
        <v>Expense</v>
      </c>
    </row>
    <row r="25" spans="2:5" ht="15.6" x14ac:dyDescent="0.3">
      <c r="B25" s="1" t="s">
        <v>49</v>
      </c>
      <c r="C25" s="1" t="s">
        <v>2</v>
      </c>
      <c r="D25" s="9">
        <v>75</v>
      </c>
      <c r="E25" s="1" t="str">
        <f>_xlfn.XLOOKUP(Budget!$C25,Actuals!$J$5:$J$13,Actuals!$K$5:$K$13)</f>
        <v>Expense</v>
      </c>
    </row>
    <row r="26" spans="2:5" ht="15.6" x14ac:dyDescent="0.3">
      <c r="B26" s="1" t="s">
        <v>49</v>
      </c>
      <c r="C26" s="1" t="s">
        <v>20</v>
      </c>
      <c r="D26" s="9">
        <v>550</v>
      </c>
      <c r="E26" s="1" t="str">
        <f>_xlfn.XLOOKUP(Budget!$C26,Actuals!$J$5:$J$13,Actuals!$K$5:$K$13)</f>
        <v>Expense</v>
      </c>
    </row>
    <row r="27" spans="2:5" ht="15.6" x14ac:dyDescent="0.3">
      <c r="B27" s="1" t="s">
        <v>49</v>
      </c>
      <c r="C27" s="1" t="s">
        <v>5</v>
      </c>
      <c r="D27" s="9">
        <v>400</v>
      </c>
      <c r="E27" s="1" t="str">
        <f>_xlfn.XLOOKUP(Budget!$C27,Actuals!$J$5:$J$13,Actuals!$K$5:$K$13)</f>
        <v>Expense</v>
      </c>
    </row>
    <row r="28" spans="2:5" ht="15.6" x14ac:dyDescent="0.3">
      <c r="B28" s="1" t="s">
        <v>49</v>
      </c>
      <c r="C28" s="1" t="s">
        <v>6</v>
      </c>
      <c r="D28" s="9">
        <v>300</v>
      </c>
      <c r="E28" s="1" t="str">
        <f>_xlfn.XLOOKUP(Budget!$C28,Actuals!$J$5:$J$13,Actuals!$K$5:$K$13)</f>
        <v>Expense</v>
      </c>
    </row>
    <row r="29" spans="2:5" ht="15.6" x14ac:dyDescent="0.3">
      <c r="B29" s="1" t="s">
        <v>49</v>
      </c>
      <c r="C29" s="1" t="s">
        <v>25</v>
      </c>
      <c r="D29" s="9">
        <v>2200</v>
      </c>
      <c r="E29" s="1" t="str">
        <f>_xlfn.XLOOKUP(Budget!$C29,Actuals!$J$5:$J$13,Actuals!$K$5:$K$13)</f>
        <v>Income</v>
      </c>
    </row>
    <row r="30" spans="2:5" ht="15.6" x14ac:dyDescent="0.3">
      <c r="B30" s="1" t="s">
        <v>49</v>
      </c>
      <c r="C30" s="1" t="s">
        <v>28</v>
      </c>
      <c r="D30" s="9">
        <v>500</v>
      </c>
      <c r="E30" s="1" t="str">
        <f>_xlfn.XLOOKUP(Budget!$C30,Actuals!$J$5:$J$13,Actuals!$K$5:$K$13)</f>
        <v>Income</v>
      </c>
    </row>
    <row r="31" spans="2:5" ht="15.6" x14ac:dyDescent="0.3">
      <c r="B31" s="1" t="s">
        <v>49</v>
      </c>
      <c r="C31" s="1" t="s">
        <v>30</v>
      </c>
      <c r="D31" s="9">
        <v>100</v>
      </c>
      <c r="E31" s="1" t="str">
        <f>_xlfn.XLOOKUP(Budget!$C31,Actuals!$J$5:$J$13,Actuals!$K$5:$K$13)</f>
        <v>Income</v>
      </c>
    </row>
    <row r="32" spans="2:5" ht="15.6" x14ac:dyDescent="0.3">
      <c r="B32" s="1" t="s">
        <v>50</v>
      </c>
      <c r="C32" s="1" t="s">
        <v>1</v>
      </c>
      <c r="D32" s="9">
        <v>850</v>
      </c>
      <c r="E32" s="1" t="str">
        <f>_xlfn.XLOOKUP(Budget!$C32,Actuals!$J$5:$J$13,Actuals!$K$5:$K$13)</f>
        <v>Expense</v>
      </c>
    </row>
    <row r="33" spans="2:5" ht="15.6" x14ac:dyDescent="0.3">
      <c r="B33" s="1" t="s">
        <v>50</v>
      </c>
      <c r="C33" s="1" t="s">
        <v>4</v>
      </c>
      <c r="D33" s="9">
        <v>200</v>
      </c>
      <c r="E33" s="1" t="str">
        <f>_xlfn.XLOOKUP(Budget!$C33,Actuals!$J$5:$J$13,Actuals!$K$5:$K$13)</f>
        <v>Expense</v>
      </c>
    </row>
    <row r="34" spans="2:5" ht="15.6" x14ac:dyDescent="0.3">
      <c r="B34" s="1" t="s">
        <v>50</v>
      </c>
      <c r="C34" s="1" t="s">
        <v>2</v>
      </c>
      <c r="D34" s="9">
        <v>75</v>
      </c>
      <c r="E34" s="1" t="str">
        <f>_xlfn.XLOOKUP(Budget!$C34,Actuals!$J$5:$J$13,Actuals!$K$5:$K$13)</f>
        <v>Expense</v>
      </c>
    </row>
    <row r="35" spans="2:5" ht="15.6" x14ac:dyDescent="0.3">
      <c r="B35" s="1" t="s">
        <v>50</v>
      </c>
      <c r="C35" s="1" t="s">
        <v>20</v>
      </c>
      <c r="D35" s="9">
        <v>550</v>
      </c>
      <c r="E35" s="1" t="str">
        <f>_xlfn.XLOOKUP(Budget!$C35,Actuals!$J$5:$J$13,Actuals!$K$5:$K$13)</f>
        <v>Expense</v>
      </c>
    </row>
    <row r="36" spans="2:5" ht="15.6" x14ac:dyDescent="0.3">
      <c r="B36" s="1" t="s">
        <v>50</v>
      </c>
      <c r="C36" s="1" t="s">
        <v>5</v>
      </c>
      <c r="D36" s="9">
        <v>400</v>
      </c>
      <c r="E36" s="1" t="str">
        <f>_xlfn.XLOOKUP(Budget!$C36,Actuals!$J$5:$J$13,Actuals!$K$5:$K$13)</f>
        <v>Expense</v>
      </c>
    </row>
    <row r="37" spans="2:5" ht="15.6" x14ac:dyDescent="0.3">
      <c r="B37" s="1" t="s">
        <v>50</v>
      </c>
      <c r="C37" s="1" t="s">
        <v>6</v>
      </c>
      <c r="D37" s="9">
        <v>300</v>
      </c>
      <c r="E37" s="1" t="str">
        <f>_xlfn.XLOOKUP(Budget!$C37,Actuals!$J$5:$J$13,Actuals!$K$5:$K$13)</f>
        <v>Expense</v>
      </c>
    </row>
    <row r="38" spans="2:5" ht="15.6" x14ac:dyDescent="0.3">
      <c r="B38" s="1" t="s">
        <v>50</v>
      </c>
      <c r="C38" s="1" t="s">
        <v>25</v>
      </c>
      <c r="D38" s="9">
        <v>2200</v>
      </c>
      <c r="E38" s="1" t="str">
        <f>_xlfn.XLOOKUP(Budget!$C38,Actuals!$J$5:$J$13,Actuals!$K$5:$K$13)</f>
        <v>Income</v>
      </c>
    </row>
    <row r="39" spans="2:5" ht="15.6" x14ac:dyDescent="0.3">
      <c r="B39" s="1" t="s">
        <v>50</v>
      </c>
      <c r="C39" s="1" t="s">
        <v>28</v>
      </c>
      <c r="D39" s="9">
        <v>500</v>
      </c>
      <c r="E39" s="1" t="str">
        <f>_xlfn.XLOOKUP(Budget!$C39,Actuals!$J$5:$J$13,Actuals!$K$5:$K$13)</f>
        <v>Income</v>
      </c>
    </row>
    <row r="40" spans="2:5" ht="15.6" x14ac:dyDescent="0.3">
      <c r="B40" s="1" t="s">
        <v>50</v>
      </c>
      <c r="C40" s="1" t="s">
        <v>30</v>
      </c>
      <c r="D40" s="9">
        <v>100</v>
      </c>
      <c r="E40" s="1" t="str">
        <f>_xlfn.XLOOKUP(Budget!$C40,Actuals!$J$5:$J$13,Actuals!$K$5:$K$13)</f>
        <v>Income</v>
      </c>
    </row>
    <row r="41" spans="2:5" ht="15.6" x14ac:dyDescent="0.3">
      <c r="B41" s="1" t="s">
        <v>51</v>
      </c>
      <c r="C41" s="1" t="s">
        <v>1</v>
      </c>
      <c r="D41" s="9">
        <v>850</v>
      </c>
      <c r="E41" s="1" t="str">
        <f>_xlfn.XLOOKUP(Budget!$C41,Actuals!$J$5:$J$13,Actuals!$K$5:$K$13)</f>
        <v>Expense</v>
      </c>
    </row>
    <row r="42" spans="2:5" ht="15.6" x14ac:dyDescent="0.3">
      <c r="B42" s="1" t="s">
        <v>51</v>
      </c>
      <c r="C42" s="1" t="s">
        <v>4</v>
      </c>
      <c r="D42" s="9">
        <v>200</v>
      </c>
      <c r="E42" s="1" t="str">
        <f>_xlfn.XLOOKUP(Budget!$C42,Actuals!$J$5:$J$13,Actuals!$K$5:$K$13)</f>
        <v>Expense</v>
      </c>
    </row>
    <row r="43" spans="2:5" ht="15.6" x14ac:dyDescent="0.3">
      <c r="B43" s="1" t="s">
        <v>51</v>
      </c>
      <c r="C43" s="1" t="s">
        <v>2</v>
      </c>
      <c r="D43" s="9">
        <v>75</v>
      </c>
      <c r="E43" s="1" t="str">
        <f>_xlfn.XLOOKUP(Budget!$C43,Actuals!$J$5:$J$13,Actuals!$K$5:$K$13)</f>
        <v>Expense</v>
      </c>
    </row>
    <row r="44" spans="2:5" ht="15.6" x14ac:dyDescent="0.3">
      <c r="B44" s="1" t="s">
        <v>51</v>
      </c>
      <c r="C44" s="1" t="s">
        <v>20</v>
      </c>
      <c r="D44" s="9">
        <v>550</v>
      </c>
      <c r="E44" s="1" t="str">
        <f>_xlfn.XLOOKUP(Budget!$C44,Actuals!$J$5:$J$13,Actuals!$K$5:$K$13)</f>
        <v>Expense</v>
      </c>
    </row>
    <row r="45" spans="2:5" ht="15.6" x14ac:dyDescent="0.3">
      <c r="B45" s="1" t="s">
        <v>51</v>
      </c>
      <c r="C45" s="1" t="s">
        <v>5</v>
      </c>
      <c r="D45" s="9">
        <v>400</v>
      </c>
      <c r="E45" s="1" t="str">
        <f>_xlfn.XLOOKUP(Budget!$C45,Actuals!$J$5:$J$13,Actuals!$K$5:$K$13)</f>
        <v>Expense</v>
      </c>
    </row>
    <row r="46" spans="2:5" ht="15.6" x14ac:dyDescent="0.3">
      <c r="B46" s="1" t="s">
        <v>51</v>
      </c>
      <c r="C46" s="1" t="s">
        <v>6</v>
      </c>
      <c r="D46" s="9">
        <v>300</v>
      </c>
      <c r="E46" s="1" t="str">
        <f>_xlfn.XLOOKUP(Budget!$C46,Actuals!$J$5:$J$13,Actuals!$K$5:$K$13)</f>
        <v>Expense</v>
      </c>
    </row>
    <row r="47" spans="2:5" ht="15.6" x14ac:dyDescent="0.3">
      <c r="B47" s="1" t="s">
        <v>51</v>
      </c>
      <c r="C47" s="1" t="s">
        <v>25</v>
      </c>
      <c r="D47" s="9">
        <v>2200</v>
      </c>
      <c r="E47" s="1" t="str">
        <f>_xlfn.XLOOKUP(Budget!$C47,Actuals!$J$5:$J$13,Actuals!$K$5:$K$13)</f>
        <v>Income</v>
      </c>
    </row>
    <row r="48" spans="2:5" ht="15.6" x14ac:dyDescent="0.3">
      <c r="B48" s="1" t="s">
        <v>51</v>
      </c>
      <c r="C48" s="1" t="s">
        <v>28</v>
      </c>
      <c r="D48" s="9">
        <v>500</v>
      </c>
      <c r="E48" s="1" t="str">
        <f>_xlfn.XLOOKUP(Budget!$C48,Actuals!$J$5:$J$13,Actuals!$K$5:$K$13)</f>
        <v>Income</v>
      </c>
    </row>
    <row r="49" spans="2:5" ht="15.6" x14ac:dyDescent="0.3">
      <c r="B49" s="1" t="s">
        <v>51</v>
      </c>
      <c r="C49" s="1" t="s">
        <v>30</v>
      </c>
      <c r="D49" s="9">
        <v>100</v>
      </c>
      <c r="E49" s="1" t="str">
        <f>_xlfn.XLOOKUP(Budget!$C49,Actuals!$J$5:$J$13,Actuals!$K$5:$K$13)</f>
        <v>Income</v>
      </c>
    </row>
    <row r="50" spans="2:5" ht="15.6" x14ac:dyDescent="0.3">
      <c r="B50" s="1" t="s">
        <v>52</v>
      </c>
      <c r="C50" s="1" t="s">
        <v>1</v>
      </c>
      <c r="D50" s="9">
        <v>850</v>
      </c>
      <c r="E50" s="1" t="str">
        <f>_xlfn.XLOOKUP(Budget!$C50,Actuals!$J$5:$J$13,Actuals!$K$5:$K$13)</f>
        <v>Expense</v>
      </c>
    </row>
    <row r="51" spans="2:5" ht="15.6" x14ac:dyDescent="0.3">
      <c r="B51" s="1" t="s">
        <v>52</v>
      </c>
      <c r="C51" s="1" t="s">
        <v>4</v>
      </c>
      <c r="D51" s="9">
        <v>200</v>
      </c>
      <c r="E51" s="1" t="str">
        <f>_xlfn.XLOOKUP(Budget!$C51,Actuals!$J$5:$J$13,Actuals!$K$5:$K$13)</f>
        <v>Expense</v>
      </c>
    </row>
    <row r="52" spans="2:5" ht="15.6" x14ac:dyDescent="0.3">
      <c r="B52" s="1" t="s">
        <v>52</v>
      </c>
      <c r="C52" s="1" t="s">
        <v>2</v>
      </c>
      <c r="D52" s="9">
        <v>75</v>
      </c>
      <c r="E52" s="1" t="str">
        <f>_xlfn.XLOOKUP(Budget!$C52,Actuals!$J$5:$J$13,Actuals!$K$5:$K$13)</f>
        <v>Expense</v>
      </c>
    </row>
    <row r="53" spans="2:5" ht="15.6" x14ac:dyDescent="0.3">
      <c r="B53" s="1" t="s">
        <v>52</v>
      </c>
      <c r="C53" s="1" t="s">
        <v>20</v>
      </c>
      <c r="D53" s="9">
        <v>550</v>
      </c>
      <c r="E53" s="1" t="str">
        <f>_xlfn.XLOOKUP(Budget!$C53,Actuals!$J$5:$J$13,Actuals!$K$5:$K$13)</f>
        <v>Expense</v>
      </c>
    </row>
    <row r="54" spans="2:5" ht="15.6" x14ac:dyDescent="0.3">
      <c r="B54" s="1" t="s">
        <v>52</v>
      </c>
      <c r="C54" s="1" t="s">
        <v>5</v>
      </c>
      <c r="D54" s="9">
        <v>400</v>
      </c>
      <c r="E54" s="1" t="str">
        <f>_xlfn.XLOOKUP(Budget!$C54,Actuals!$J$5:$J$13,Actuals!$K$5:$K$13)</f>
        <v>Expense</v>
      </c>
    </row>
    <row r="55" spans="2:5" ht="15.6" x14ac:dyDescent="0.3">
      <c r="B55" s="1" t="s">
        <v>52</v>
      </c>
      <c r="C55" s="1" t="s">
        <v>6</v>
      </c>
      <c r="D55" s="9">
        <v>300</v>
      </c>
      <c r="E55" s="1" t="str">
        <f>_xlfn.XLOOKUP(Budget!$C55,Actuals!$J$5:$J$13,Actuals!$K$5:$K$13)</f>
        <v>Expense</v>
      </c>
    </row>
    <row r="56" spans="2:5" ht="15.6" x14ac:dyDescent="0.3">
      <c r="B56" s="1" t="s">
        <v>52</v>
      </c>
      <c r="C56" s="1" t="s">
        <v>25</v>
      </c>
      <c r="D56" s="9">
        <v>2200</v>
      </c>
      <c r="E56" s="1" t="str">
        <f>_xlfn.XLOOKUP(Budget!$C56,Actuals!$J$5:$J$13,Actuals!$K$5:$K$13)</f>
        <v>Income</v>
      </c>
    </row>
    <row r="57" spans="2:5" ht="15.6" x14ac:dyDescent="0.3">
      <c r="B57" s="1" t="s">
        <v>52</v>
      </c>
      <c r="C57" s="1" t="s">
        <v>28</v>
      </c>
      <c r="D57" s="9">
        <v>500</v>
      </c>
      <c r="E57" s="1" t="str">
        <f>_xlfn.XLOOKUP(Budget!$C57,Actuals!$J$5:$J$13,Actuals!$K$5:$K$13)</f>
        <v>Income</v>
      </c>
    </row>
    <row r="58" spans="2:5" ht="15.6" x14ac:dyDescent="0.3">
      <c r="B58" s="1" t="s">
        <v>52</v>
      </c>
      <c r="C58" s="1" t="s">
        <v>30</v>
      </c>
      <c r="D58" s="9">
        <v>100</v>
      </c>
      <c r="E58" s="1" t="str">
        <f>_xlfn.XLOOKUP(Budget!$C58,Actuals!$J$5:$J$13,Actuals!$K$5:$K$13)</f>
        <v>Income</v>
      </c>
    </row>
    <row r="59" spans="2:5" ht="15.6" x14ac:dyDescent="0.3">
      <c r="B59" s="1" t="s">
        <v>53</v>
      </c>
      <c r="C59" s="1" t="s">
        <v>1</v>
      </c>
      <c r="D59" s="9">
        <v>850</v>
      </c>
      <c r="E59" s="1" t="str">
        <f>_xlfn.XLOOKUP(Budget!$C59,Actuals!$J$5:$J$13,Actuals!$K$5:$K$13)</f>
        <v>Expense</v>
      </c>
    </row>
    <row r="60" spans="2:5" ht="15.6" x14ac:dyDescent="0.3">
      <c r="B60" s="1" t="s">
        <v>53</v>
      </c>
      <c r="C60" s="1" t="s">
        <v>4</v>
      </c>
      <c r="D60" s="9">
        <v>200</v>
      </c>
      <c r="E60" s="1" t="str">
        <f>_xlfn.XLOOKUP(Budget!$C60,Actuals!$J$5:$J$13,Actuals!$K$5:$K$13)</f>
        <v>Expense</v>
      </c>
    </row>
    <row r="61" spans="2:5" ht="15.6" x14ac:dyDescent="0.3">
      <c r="B61" s="1" t="s">
        <v>53</v>
      </c>
      <c r="C61" s="1" t="s">
        <v>2</v>
      </c>
      <c r="D61" s="9">
        <v>75</v>
      </c>
      <c r="E61" s="1" t="str">
        <f>_xlfn.XLOOKUP(Budget!$C61,Actuals!$J$5:$J$13,Actuals!$K$5:$K$13)</f>
        <v>Expense</v>
      </c>
    </row>
    <row r="62" spans="2:5" ht="15.6" x14ac:dyDescent="0.3">
      <c r="B62" s="1" t="s">
        <v>53</v>
      </c>
      <c r="C62" s="1" t="s">
        <v>20</v>
      </c>
      <c r="D62" s="9">
        <v>550</v>
      </c>
      <c r="E62" s="1" t="str">
        <f>_xlfn.XLOOKUP(Budget!$C62,Actuals!$J$5:$J$13,Actuals!$K$5:$K$13)</f>
        <v>Expense</v>
      </c>
    </row>
    <row r="63" spans="2:5" ht="15.6" x14ac:dyDescent="0.3">
      <c r="B63" s="1" t="s">
        <v>53</v>
      </c>
      <c r="C63" s="1" t="s">
        <v>5</v>
      </c>
      <c r="D63" s="9">
        <v>400</v>
      </c>
      <c r="E63" s="1" t="str">
        <f>_xlfn.XLOOKUP(Budget!$C63,Actuals!$J$5:$J$13,Actuals!$K$5:$K$13)</f>
        <v>Expense</v>
      </c>
    </row>
    <row r="64" spans="2:5" ht="15.6" x14ac:dyDescent="0.3">
      <c r="B64" s="1" t="s">
        <v>53</v>
      </c>
      <c r="C64" s="1" t="s">
        <v>6</v>
      </c>
      <c r="D64" s="9">
        <v>300</v>
      </c>
      <c r="E64" s="1" t="str">
        <f>_xlfn.XLOOKUP(Budget!$C64,Actuals!$J$5:$J$13,Actuals!$K$5:$K$13)</f>
        <v>Expense</v>
      </c>
    </row>
    <row r="65" spans="2:5" ht="15.6" x14ac:dyDescent="0.3">
      <c r="B65" s="1" t="s">
        <v>53</v>
      </c>
      <c r="C65" s="1" t="s">
        <v>25</v>
      </c>
      <c r="D65" s="9">
        <v>2200</v>
      </c>
      <c r="E65" s="1" t="str">
        <f>_xlfn.XLOOKUP(Budget!$C65,Actuals!$J$5:$J$13,Actuals!$K$5:$K$13)</f>
        <v>Income</v>
      </c>
    </row>
    <row r="66" spans="2:5" ht="15.6" x14ac:dyDescent="0.3">
      <c r="B66" s="1" t="s">
        <v>53</v>
      </c>
      <c r="C66" s="1" t="s">
        <v>28</v>
      </c>
      <c r="D66" s="9">
        <v>500</v>
      </c>
      <c r="E66" s="1" t="str">
        <f>_xlfn.XLOOKUP(Budget!$C66,Actuals!$J$5:$J$13,Actuals!$K$5:$K$13)</f>
        <v>Income</v>
      </c>
    </row>
    <row r="67" spans="2:5" ht="15.6" x14ac:dyDescent="0.3">
      <c r="B67" s="1" t="s">
        <v>53</v>
      </c>
      <c r="C67" s="1" t="s">
        <v>30</v>
      </c>
      <c r="D67" s="9">
        <v>100</v>
      </c>
      <c r="E67" s="1" t="str">
        <f>_xlfn.XLOOKUP(Budget!$C67,Actuals!$J$5:$J$13,Actuals!$K$5:$K$13)</f>
        <v>Income</v>
      </c>
    </row>
    <row r="68" spans="2:5" ht="15.6" x14ac:dyDescent="0.3">
      <c r="B68" s="1" t="s">
        <v>54</v>
      </c>
      <c r="C68" s="1" t="s">
        <v>1</v>
      </c>
      <c r="D68" s="9">
        <v>850</v>
      </c>
      <c r="E68" s="1" t="str">
        <f>_xlfn.XLOOKUP(Budget!$C68,Actuals!$J$5:$J$13,Actuals!$K$5:$K$13)</f>
        <v>Expense</v>
      </c>
    </row>
    <row r="69" spans="2:5" ht="15.6" x14ac:dyDescent="0.3">
      <c r="B69" s="1" t="s">
        <v>54</v>
      </c>
      <c r="C69" s="1" t="s">
        <v>4</v>
      </c>
      <c r="D69" s="9">
        <v>200</v>
      </c>
      <c r="E69" s="1" t="str">
        <f>_xlfn.XLOOKUP(Budget!$C69,Actuals!$J$5:$J$13,Actuals!$K$5:$K$13)</f>
        <v>Expense</v>
      </c>
    </row>
    <row r="70" spans="2:5" ht="15.6" x14ac:dyDescent="0.3">
      <c r="B70" s="1" t="s">
        <v>54</v>
      </c>
      <c r="C70" s="1" t="s">
        <v>2</v>
      </c>
      <c r="D70" s="9">
        <v>75</v>
      </c>
      <c r="E70" s="1" t="str">
        <f>_xlfn.XLOOKUP(Budget!$C70,Actuals!$J$5:$J$13,Actuals!$K$5:$K$13)</f>
        <v>Expense</v>
      </c>
    </row>
    <row r="71" spans="2:5" ht="15.6" x14ac:dyDescent="0.3">
      <c r="B71" s="1" t="s">
        <v>54</v>
      </c>
      <c r="C71" s="1" t="s">
        <v>20</v>
      </c>
      <c r="D71" s="9">
        <v>550</v>
      </c>
      <c r="E71" s="1" t="str">
        <f>_xlfn.XLOOKUP(Budget!$C71,Actuals!$J$5:$J$13,Actuals!$K$5:$K$13)</f>
        <v>Expense</v>
      </c>
    </row>
    <row r="72" spans="2:5" ht="15.6" x14ac:dyDescent="0.3">
      <c r="B72" s="1" t="s">
        <v>54</v>
      </c>
      <c r="C72" s="1" t="s">
        <v>5</v>
      </c>
      <c r="D72" s="9">
        <v>400</v>
      </c>
      <c r="E72" s="1" t="str">
        <f>_xlfn.XLOOKUP(Budget!$C72,Actuals!$J$5:$J$13,Actuals!$K$5:$K$13)</f>
        <v>Expense</v>
      </c>
    </row>
    <row r="73" spans="2:5" ht="15.6" x14ac:dyDescent="0.3">
      <c r="B73" s="1" t="s">
        <v>54</v>
      </c>
      <c r="C73" s="1" t="s">
        <v>6</v>
      </c>
      <c r="D73" s="9">
        <v>300</v>
      </c>
      <c r="E73" s="1" t="str">
        <f>_xlfn.XLOOKUP(Budget!$C73,Actuals!$J$5:$J$13,Actuals!$K$5:$K$13)</f>
        <v>Expense</v>
      </c>
    </row>
    <row r="74" spans="2:5" ht="15.6" x14ac:dyDescent="0.3">
      <c r="B74" s="1" t="s">
        <v>54</v>
      </c>
      <c r="C74" s="1" t="s">
        <v>25</v>
      </c>
      <c r="D74" s="9">
        <v>2200</v>
      </c>
      <c r="E74" s="1" t="str">
        <f>_xlfn.XLOOKUP(Budget!$C74,Actuals!$J$5:$J$13,Actuals!$K$5:$K$13)</f>
        <v>Income</v>
      </c>
    </row>
    <row r="75" spans="2:5" ht="15.6" x14ac:dyDescent="0.3">
      <c r="B75" s="1" t="s">
        <v>54</v>
      </c>
      <c r="C75" s="1" t="s">
        <v>28</v>
      </c>
      <c r="D75" s="9">
        <v>500</v>
      </c>
      <c r="E75" s="1" t="str">
        <f>_xlfn.XLOOKUP(Budget!$C75,Actuals!$J$5:$J$13,Actuals!$K$5:$K$13)</f>
        <v>Income</v>
      </c>
    </row>
    <row r="76" spans="2:5" ht="15.6" x14ac:dyDescent="0.3">
      <c r="B76" s="1" t="s">
        <v>54</v>
      </c>
      <c r="C76" s="1" t="s">
        <v>30</v>
      </c>
      <c r="D76" s="9">
        <v>100</v>
      </c>
      <c r="E76" s="1" t="str">
        <f>_xlfn.XLOOKUP(Budget!$C76,Actuals!$J$5:$J$13,Actuals!$K$5:$K$13)</f>
        <v>Income</v>
      </c>
    </row>
    <row r="77" spans="2:5" ht="15.6" x14ac:dyDescent="0.3">
      <c r="B77" s="1" t="s">
        <v>55</v>
      </c>
      <c r="C77" s="1" t="s">
        <v>1</v>
      </c>
      <c r="D77" s="9">
        <v>850</v>
      </c>
      <c r="E77" s="1" t="str">
        <f>_xlfn.XLOOKUP(Budget!$C77,Actuals!$J$5:$J$13,Actuals!$K$5:$K$13)</f>
        <v>Expense</v>
      </c>
    </row>
    <row r="78" spans="2:5" ht="15.6" x14ac:dyDescent="0.3">
      <c r="B78" s="1" t="s">
        <v>55</v>
      </c>
      <c r="C78" s="1" t="s">
        <v>4</v>
      </c>
      <c r="D78" s="9">
        <v>200</v>
      </c>
      <c r="E78" s="1" t="str">
        <f>_xlfn.XLOOKUP(Budget!$C78,Actuals!$J$5:$J$13,Actuals!$K$5:$K$13)</f>
        <v>Expense</v>
      </c>
    </row>
    <row r="79" spans="2:5" ht="15.6" x14ac:dyDescent="0.3">
      <c r="B79" s="1" t="s">
        <v>55</v>
      </c>
      <c r="C79" s="1" t="s">
        <v>2</v>
      </c>
      <c r="D79" s="9">
        <v>75</v>
      </c>
      <c r="E79" s="1" t="str">
        <f>_xlfn.XLOOKUP(Budget!$C79,Actuals!$J$5:$J$13,Actuals!$K$5:$K$13)</f>
        <v>Expense</v>
      </c>
    </row>
    <row r="80" spans="2:5" ht="15.6" x14ac:dyDescent="0.3">
      <c r="B80" s="1" t="s">
        <v>55</v>
      </c>
      <c r="C80" s="1" t="s">
        <v>20</v>
      </c>
      <c r="D80" s="9">
        <v>550</v>
      </c>
      <c r="E80" s="1" t="str">
        <f>_xlfn.XLOOKUP(Budget!$C80,Actuals!$J$5:$J$13,Actuals!$K$5:$K$13)</f>
        <v>Expense</v>
      </c>
    </row>
    <row r="81" spans="2:5" ht="15.6" x14ac:dyDescent="0.3">
      <c r="B81" s="1" t="s">
        <v>55</v>
      </c>
      <c r="C81" s="1" t="s">
        <v>5</v>
      </c>
      <c r="D81" s="9">
        <v>400</v>
      </c>
      <c r="E81" s="1" t="str">
        <f>_xlfn.XLOOKUP(Budget!$C81,Actuals!$J$5:$J$13,Actuals!$K$5:$K$13)</f>
        <v>Expense</v>
      </c>
    </row>
    <row r="82" spans="2:5" ht="15.6" x14ac:dyDescent="0.3">
      <c r="B82" s="1" t="s">
        <v>55</v>
      </c>
      <c r="C82" s="1" t="s">
        <v>6</v>
      </c>
      <c r="D82" s="9">
        <v>300</v>
      </c>
      <c r="E82" s="1" t="str">
        <f>_xlfn.XLOOKUP(Budget!$C82,Actuals!$J$5:$J$13,Actuals!$K$5:$K$13)</f>
        <v>Expense</v>
      </c>
    </row>
    <row r="83" spans="2:5" ht="15.6" x14ac:dyDescent="0.3">
      <c r="B83" s="1" t="s">
        <v>55</v>
      </c>
      <c r="C83" s="1" t="s">
        <v>25</v>
      </c>
      <c r="D83" s="9">
        <v>2200</v>
      </c>
      <c r="E83" s="1" t="str">
        <f>_xlfn.XLOOKUP(Budget!$C83,Actuals!$J$5:$J$13,Actuals!$K$5:$K$13)</f>
        <v>Income</v>
      </c>
    </row>
    <row r="84" spans="2:5" ht="15.6" x14ac:dyDescent="0.3">
      <c r="B84" s="1" t="s">
        <v>55</v>
      </c>
      <c r="C84" s="1" t="s">
        <v>28</v>
      </c>
      <c r="D84" s="9">
        <v>500</v>
      </c>
      <c r="E84" s="1" t="str">
        <f>_xlfn.XLOOKUP(Budget!$C84,Actuals!$J$5:$J$13,Actuals!$K$5:$K$13)</f>
        <v>Income</v>
      </c>
    </row>
    <row r="85" spans="2:5" ht="15.6" x14ac:dyDescent="0.3">
      <c r="B85" s="1" t="s">
        <v>55</v>
      </c>
      <c r="C85" s="1" t="s">
        <v>30</v>
      </c>
      <c r="D85" s="9">
        <v>100</v>
      </c>
      <c r="E85" s="1" t="str">
        <f>_xlfn.XLOOKUP(Budget!$C85,Actuals!$J$5:$J$13,Actuals!$K$5:$K$13)</f>
        <v>Income</v>
      </c>
    </row>
    <row r="86" spans="2:5" ht="15.6" x14ac:dyDescent="0.3">
      <c r="B86" s="1" t="s">
        <v>56</v>
      </c>
      <c r="C86" s="1" t="s">
        <v>1</v>
      </c>
      <c r="D86" s="9">
        <v>850</v>
      </c>
      <c r="E86" s="1" t="str">
        <f>_xlfn.XLOOKUP(Budget!$C86,Actuals!$J$5:$J$13,Actuals!$K$5:$K$13)</f>
        <v>Expense</v>
      </c>
    </row>
    <row r="87" spans="2:5" ht="15.6" x14ac:dyDescent="0.3">
      <c r="B87" s="1" t="s">
        <v>56</v>
      </c>
      <c r="C87" s="1" t="s">
        <v>4</v>
      </c>
      <c r="D87" s="9">
        <v>200</v>
      </c>
      <c r="E87" s="1" t="str">
        <f>_xlfn.XLOOKUP(Budget!$C87,Actuals!$J$5:$J$13,Actuals!$K$5:$K$13)</f>
        <v>Expense</v>
      </c>
    </row>
    <row r="88" spans="2:5" ht="15.6" x14ac:dyDescent="0.3">
      <c r="B88" s="1" t="s">
        <v>56</v>
      </c>
      <c r="C88" s="1" t="s">
        <v>2</v>
      </c>
      <c r="D88" s="9">
        <v>75</v>
      </c>
      <c r="E88" s="1" t="str">
        <f>_xlfn.XLOOKUP(Budget!$C88,Actuals!$J$5:$J$13,Actuals!$K$5:$K$13)</f>
        <v>Expense</v>
      </c>
    </row>
    <row r="89" spans="2:5" ht="15.6" x14ac:dyDescent="0.3">
      <c r="B89" s="1" t="s">
        <v>56</v>
      </c>
      <c r="C89" s="1" t="s">
        <v>20</v>
      </c>
      <c r="D89" s="9">
        <v>550</v>
      </c>
      <c r="E89" s="1" t="str">
        <f>_xlfn.XLOOKUP(Budget!$C89,Actuals!$J$5:$J$13,Actuals!$K$5:$K$13)</f>
        <v>Expense</v>
      </c>
    </row>
    <row r="90" spans="2:5" ht="15.6" x14ac:dyDescent="0.3">
      <c r="B90" s="1" t="s">
        <v>56</v>
      </c>
      <c r="C90" s="1" t="s">
        <v>5</v>
      </c>
      <c r="D90" s="9">
        <v>400</v>
      </c>
      <c r="E90" s="1" t="str">
        <f>_xlfn.XLOOKUP(Budget!$C90,Actuals!$J$5:$J$13,Actuals!$K$5:$K$13)</f>
        <v>Expense</v>
      </c>
    </row>
    <row r="91" spans="2:5" ht="15.6" x14ac:dyDescent="0.3">
      <c r="B91" s="1" t="s">
        <v>56</v>
      </c>
      <c r="C91" s="1" t="s">
        <v>6</v>
      </c>
      <c r="D91" s="9">
        <v>300</v>
      </c>
      <c r="E91" s="1" t="str">
        <f>_xlfn.XLOOKUP(Budget!$C91,Actuals!$J$5:$J$13,Actuals!$K$5:$K$13)</f>
        <v>Expense</v>
      </c>
    </row>
    <row r="92" spans="2:5" ht="15.6" x14ac:dyDescent="0.3">
      <c r="B92" s="1" t="s">
        <v>56</v>
      </c>
      <c r="C92" s="1" t="s">
        <v>25</v>
      </c>
      <c r="D92" s="9">
        <v>2200</v>
      </c>
      <c r="E92" s="1" t="str">
        <f>_xlfn.XLOOKUP(Budget!$C92,Actuals!$J$5:$J$13,Actuals!$K$5:$K$13)</f>
        <v>Income</v>
      </c>
    </row>
    <row r="93" spans="2:5" ht="15.6" x14ac:dyDescent="0.3">
      <c r="B93" s="1" t="s">
        <v>56</v>
      </c>
      <c r="C93" s="1" t="s">
        <v>28</v>
      </c>
      <c r="D93" s="9">
        <v>500</v>
      </c>
      <c r="E93" s="1" t="str">
        <f>_xlfn.XLOOKUP(Budget!$C93,Actuals!$J$5:$J$13,Actuals!$K$5:$K$13)</f>
        <v>Income</v>
      </c>
    </row>
    <row r="94" spans="2:5" ht="15.6" x14ac:dyDescent="0.3">
      <c r="B94" s="1" t="s">
        <v>56</v>
      </c>
      <c r="C94" s="1" t="s">
        <v>30</v>
      </c>
      <c r="D94" s="9">
        <v>100</v>
      </c>
      <c r="E94" s="1" t="str">
        <f>_xlfn.XLOOKUP(Budget!$C94,Actuals!$J$5:$J$13,Actuals!$K$5:$K$13)</f>
        <v>Income</v>
      </c>
    </row>
    <row r="95" spans="2:5" ht="15.6" x14ac:dyDescent="0.3">
      <c r="B95" s="1" t="s">
        <v>57</v>
      </c>
      <c r="C95" s="1" t="s">
        <v>1</v>
      </c>
      <c r="D95" s="9">
        <v>850</v>
      </c>
      <c r="E95" s="1" t="str">
        <f>_xlfn.XLOOKUP(Budget!$C95,Actuals!$J$5:$J$13,Actuals!$K$5:$K$13)</f>
        <v>Expense</v>
      </c>
    </row>
    <row r="96" spans="2:5" ht="15.6" x14ac:dyDescent="0.3">
      <c r="B96" s="1" t="s">
        <v>57</v>
      </c>
      <c r="C96" s="1" t="s">
        <v>4</v>
      </c>
      <c r="D96" s="9">
        <v>200</v>
      </c>
      <c r="E96" s="1" t="str">
        <f>_xlfn.XLOOKUP(Budget!$C96,Actuals!$J$5:$J$13,Actuals!$K$5:$K$13)</f>
        <v>Expense</v>
      </c>
    </row>
    <row r="97" spans="2:5" ht="15.6" x14ac:dyDescent="0.3">
      <c r="B97" s="1" t="s">
        <v>57</v>
      </c>
      <c r="C97" s="1" t="s">
        <v>2</v>
      </c>
      <c r="D97" s="9">
        <v>75</v>
      </c>
      <c r="E97" s="1" t="str">
        <f>_xlfn.XLOOKUP(Budget!$C97,Actuals!$J$5:$J$13,Actuals!$K$5:$K$13)</f>
        <v>Expense</v>
      </c>
    </row>
    <row r="98" spans="2:5" ht="15.6" x14ac:dyDescent="0.3">
      <c r="B98" s="1" t="s">
        <v>57</v>
      </c>
      <c r="C98" s="1" t="s">
        <v>20</v>
      </c>
      <c r="D98" s="9">
        <v>550</v>
      </c>
      <c r="E98" s="1" t="str">
        <f>_xlfn.XLOOKUP(Budget!$C98,Actuals!$J$5:$J$13,Actuals!$K$5:$K$13)</f>
        <v>Expense</v>
      </c>
    </row>
    <row r="99" spans="2:5" ht="15.6" x14ac:dyDescent="0.3">
      <c r="B99" s="1" t="s">
        <v>57</v>
      </c>
      <c r="C99" s="1" t="s">
        <v>5</v>
      </c>
      <c r="D99" s="9">
        <v>400</v>
      </c>
      <c r="E99" s="1" t="str">
        <f>_xlfn.XLOOKUP(Budget!$C99,Actuals!$J$5:$J$13,Actuals!$K$5:$K$13)</f>
        <v>Expense</v>
      </c>
    </row>
    <row r="100" spans="2:5" ht="15.6" x14ac:dyDescent="0.3">
      <c r="B100" s="1" t="s">
        <v>57</v>
      </c>
      <c r="C100" s="1" t="s">
        <v>6</v>
      </c>
      <c r="D100" s="9">
        <v>300</v>
      </c>
      <c r="E100" s="1" t="str">
        <f>_xlfn.XLOOKUP(Budget!$C100,Actuals!$J$5:$J$13,Actuals!$K$5:$K$13)</f>
        <v>Expense</v>
      </c>
    </row>
    <row r="101" spans="2:5" ht="15.6" x14ac:dyDescent="0.3">
      <c r="B101" s="1" t="s">
        <v>57</v>
      </c>
      <c r="C101" s="1" t="s">
        <v>25</v>
      </c>
      <c r="D101" s="9">
        <v>2200</v>
      </c>
      <c r="E101" s="1" t="str">
        <f>_xlfn.XLOOKUP(Budget!$C101,Actuals!$J$5:$J$13,Actuals!$K$5:$K$13)</f>
        <v>Income</v>
      </c>
    </row>
    <row r="102" spans="2:5" ht="15.6" x14ac:dyDescent="0.3">
      <c r="B102" s="1" t="s">
        <v>57</v>
      </c>
      <c r="C102" s="1" t="s">
        <v>28</v>
      </c>
      <c r="D102" s="9">
        <v>500</v>
      </c>
      <c r="E102" s="1" t="str">
        <f>_xlfn.XLOOKUP(Budget!$C102,Actuals!$J$5:$J$13,Actuals!$K$5:$K$13)</f>
        <v>Income</v>
      </c>
    </row>
    <row r="103" spans="2:5" ht="15.6" x14ac:dyDescent="0.3">
      <c r="B103" s="1" t="s">
        <v>57</v>
      </c>
      <c r="C103" s="1" t="s">
        <v>30</v>
      </c>
      <c r="D103" s="9">
        <v>100</v>
      </c>
      <c r="E103" s="1" t="str">
        <f>_xlfn.XLOOKUP(Budget!$C103,Actuals!$J$5:$J$13,Actuals!$K$5:$K$13)</f>
        <v>Income</v>
      </c>
    </row>
    <row r="104" spans="2:5" ht="15.6" x14ac:dyDescent="0.3">
      <c r="B104" s="1" t="s">
        <v>58</v>
      </c>
      <c r="C104" s="1" t="s">
        <v>1</v>
      </c>
      <c r="D104" s="9">
        <v>850</v>
      </c>
      <c r="E104" s="1" t="str">
        <f>_xlfn.XLOOKUP(Budget!$C104,Actuals!$J$5:$J$13,Actuals!$K$5:$K$13)</f>
        <v>Expense</v>
      </c>
    </row>
    <row r="105" spans="2:5" ht="15.6" x14ac:dyDescent="0.3">
      <c r="B105" s="1" t="s">
        <v>58</v>
      </c>
      <c r="C105" s="1" t="s">
        <v>4</v>
      </c>
      <c r="D105" s="9">
        <v>200</v>
      </c>
      <c r="E105" s="1" t="str">
        <f>_xlfn.XLOOKUP(Budget!$C105,Actuals!$J$5:$J$13,Actuals!$K$5:$K$13)</f>
        <v>Expense</v>
      </c>
    </row>
    <row r="106" spans="2:5" ht="15.6" x14ac:dyDescent="0.3">
      <c r="B106" s="1" t="s">
        <v>58</v>
      </c>
      <c r="C106" s="1" t="s">
        <v>2</v>
      </c>
      <c r="D106" s="9">
        <v>75</v>
      </c>
      <c r="E106" s="1" t="str">
        <f>_xlfn.XLOOKUP(Budget!$C106,Actuals!$J$5:$J$13,Actuals!$K$5:$K$13)</f>
        <v>Expense</v>
      </c>
    </row>
    <row r="107" spans="2:5" ht="15.6" x14ac:dyDescent="0.3">
      <c r="B107" s="1" t="s">
        <v>58</v>
      </c>
      <c r="C107" s="1" t="s">
        <v>20</v>
      </c>
      <c r="D107" s="9">
        <v>550</v>
      </c>
      <c r="E107" s="1" t="str">
        <f>_xlfn.XLOOKUP(Budget!$C107,Actuals!$J$5:$J$13,Actuals!$K$5:$K$13)</f>
        <v>Expense</v>
      </c>
    </row>
    <row r="108" spans="2:5" ht="15.6" x14ac:dyDescent="0.3">
      <c r="B108" s="1" t="s">
        <v>58</v>
      </c>
      <c r="C108" s="1" t="s">
        <v>5</v>
      </c>
      <c r="D108" s="9">
        <v>400</v>
      </c>
      <c r="E108" s="1" t="str">
        <f>_xlfn.XLOOKUP(Budget!$C108,Actuals!$J$5:$J$13,Actuals!$K$5:$K$13)</f>
        <v>Expense</v>
      </c>
    </row>
    <row r="109" spans="2:5" ht="15.6" x14ac:dyDescent="0.3">
      <c r="B109" s="1" t="s">
        <v>58</v>
      </c>
      <c r="C109" s="1" t="s">
        <v>6</v>
      </c>
      <c r="D109" s="9">
        <v>300</v>
      </c>
      <c r="E109" s="1" t="str">
        <f>_xlfn.XLOOKUP(Budget!$C109,Actuals!$J$5:$J$13,Actuals!$K$5:$K$13)</f>
        <v>Expense</v>
      </c>
    </row>
    <row r="110" spans="2:5" ht="15.6" x14ac:dyDescent="0.3">
      <c r="B110" s="1" t="s">
        <v>58</v>
      </c>
      <c r="C110" s="1" t="s">
        <v>25</v>
      </c>
      <c r="D110" s="9">
        <v>2200</v>
      </c>
      <c r="E110" s="1" t="str">
        <f>_xlfn.XLOOKUP(Budget!$C110,Actuals!$J$5:$J$13,Actuals!$K$5:$K$13)</f>
        <v>Income</v>
      </c>
    </row>
    <row r="111" spans="2:5" ht="15.6" x14ac:dyDescent="0.3">
      <c r="B111" s="1" t="s">
        <v>58</v>
      </c>
      <c r="C111" s="1" t="s">
        <v>28</v>
      </c>
      <c r="D111" s="9">
        <v>500</v>
      </c>
      <c r="E111" s="1" t="str">
        <f>_xlfn.XLOOKUP(Budget!$C111,Actuals!$J$5:$J$13,Actuals!$K$5:$K$13)</f>
        <v>Income</v>
      </c>
    </row>
    <row r="112" spans="2:5" ht="15.6" x14ac:dyDescent="0.3">
      <c r="B112" s="1" t="s">
        <v>58</v>
      </c>
      <c r="C112" s="1" t="s">
        <v>30</v>
      </c>
      <c r="D112" s="9">
        <v>100</v>
      </c>
      <c r="E112" s="1" t="str">
        <f>_xlfn.XLOOKUP(Budget!$C112,Actuals!$J$5:$J$13,Actuals!$K$5:$K$13)</f>
        <v>Income</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Actuals</vt:lpstr>
      <vt:lpstr>Dashboard</vt:lpstr>
      <vt:lpstr>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PUSHPANJALI G</cp:lastModifiedBy>
  <dcterms:created xsi:type="dcterms:W3CDTF">2022-05-23T20:46:49Z</dcterms:created>
  <dcterms:modified xsi:type="dcterms:W3CDTF">2026-02-25T14:35:28Z</dcterms:modified>
</cp:coreProperties>
</file>